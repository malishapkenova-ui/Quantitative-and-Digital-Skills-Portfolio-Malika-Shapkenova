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lies" sheetId="1" r:id="rId5"/>
    <sheet state="visible" name="Cohort" sheetId="2" r:id="rId6"/>
    <sheet state="visible" name="Three-cohort" sheetId="3" r:id="rId7"/>
    <sheet state="visible" name="year summarize" sheetId="4" r:id="rId8"/>
    <sheet state="visible" name="Annual Performance Tab" sheetId="5" r:id="rId9"/>
    <sheet state="visible" name="answers" sheetId="6" r:id="rId10"/>
    <sheet state="visible" name="Histogram" sheetId="7" r:id="rId11"/>
    <sheet state="visible" name="scp" sheetId="8" r:id="rId12"/>
    <sheet state="visible" name="contingency" sheetId="9" r:id="rId13"/>
  </sheets>
  <definedNames/>
  <calcPr/>
  <pivotCaches>
    <pivotCache cacheId="0" r:id="rId14"/>
    <pivotCache cacheId="1" r:id="rId15"/>
    <pivotCache cacheId="2" r:id="rId16"/>
    <pivotCache cacheId="3" r:id="rId17"/>
  </pivotCaches>
</workbook>
</file>

<file path=xl/sharedStrings.xml><?xml version="1.0" encoding="utf-8"?>
<sst xmlns="http://schemas.openxmlformats.org/spreadsheetml/2006/main" count="567" uniqueCount="187">
  <si>
    <t>Percentages</t>
  </si>
  <si>
    <t>Decile</t>
  </si>
  <si>
    <t># Customers</t>
  </si>
  <si>
    <t>Total Transactions</t>
  </si>
  <si>
    <t>Revenue</t>
  </si>
  <si>
    <t>Profit</t>
  </si>
  <si>
    <t>Average revenue per customer</t>
  </si>
  <si>
    <t>Average profit per customer</t>
  </si>
  <si>
    <t>AOF AVerage order frequency</t>
  </si>
  <si>
    <t>Order Value =Revenue/Transactions</t>
  </si>
  <si>
    <t>Average Margin =Profit/Revenue</t>
  </si>
  <si>
    <t>TOTAL</t>
  </si>
  <si>
    <t>Table 1 Customer Decile Analysis, by Total Profitability in 2024</t>
  </si>
  <si>
    <t>How different are your customers?</t>
  </si>
  <si>
    <t>The top 10% of customers generate about 40% of profit and about 40% of revenue.</t>
  </si>
  <si>
    <t>Top customers differ mainly because of higher order frequency, not just higher margin.</t>
  </si>
  <si>
    <t>Total active customers in 2024: 31,797</t>
  </si>
  <si>
    <t>Total transactions: 61,260</t>
  </si>
  <si>
    <t>Total revenue: 325,600,660</t>
  </si>
  <si>
    <t>Total profit: 156,016,135</t>
  </si>
  <si>
    <t>Top decile share of profit: about 39.8%</t>
  </si>
  <si>
    <t>Top decile share of revenue: about 39.6%</t>
  </si>
  <si>
    <t>Top decile share of transactions: about 28.6%</t>
  </si>
  <si>
    <t>Quarter</t>
  </si>
  <si>
    <t>2021Q1</t>
  </si>
  <si>
    <t>2021Q2</t>
  </si>
  <si>
    <t>2021Q3</t>
  </si>
  <si>
    <t>2021Q4</t>
  </si>
  <si>
    <t>2022Q1</t>
  </si>
  <si>
    <t>2022Q2</t>
  </si>
  <si>
    <t>2022Q3</t>
  </si>
  <si>
    <t>2022Q4</t>
  </si>
  <si>
    <t>2023Q1</t>
  </si>
  <si>
    <t>2023Q2</t>
  </si>
  <si>
    <t>2023Q3</t>
  </si>
  <si>
    <t>2023Q4</t>
  </si>
  <si>
    <t>2024Q1</t>
  </si>
  <si>
    <t>2024Q2</t>
  </si>
  <si>
    <t>2024Q3</t>
  </si>
  <si>
    <t>2024Q4</t>
  </si>
  <si>
    <t>% active</t>
  </si>
  <si>
    <t>Avg spend/active customer</t>
  </si>
  <si>
    <t>AOF</t>
  </si>
  <si>
    <t>AOV</t>
  </si>
  <si>
    <t>How does customer behavior evolve over time?</t>
  </si>
  <si>
    <t>Not all customers buy every quarter.</t>
  </si>
  <si>
    <t>After the acquisition quarter, the number of active customers drops sharply.</t>
  </si>
  <si>
    <t>This suggests natural cohort shakeout and latent attrition.</t>
  </si>
  <si>
    <t>There is visible seasonality, especially stronger performance in Q4 periods.</t>
  </si>
  <si>
    <t>Spend per active customer is relatively stable, but this is driven more by changes in order frequency than by order value.</t>
  </si>
  <si>
    <t>AOF tends to increase, while AOV tends to decline, which may indicate survival bias or a shift toward lower-value purchases.</t>
  </si>
  <si>
    <t>The main decline is in the number of active customers, not necessarily in the spending of those who remain active.</t>
  </si>
  <si>
    <t>Q3 2021</t>
  </si>
  <si>
    <t>Q4 2021</t>
  </si>
  <si>
    <t>Q4 2022</t>
  </si>
  <si>
    <t>Are different cohorts behaving differently?</t>
  </si>
  <si>
    <t>Yes, different cohorts behave differently.</t>
  </si>
  <si>
    <t>Q4 cohorts show stronger recurring activity in later Q4 periods, suggesting seasonal or “holiday shopper” behavior.</t>
  </si>
  <si>
    <t>Q3 2021 customers appear more stable outside the holiday season.</t>
  </si>
  <si>
    <t>Q4 cohorts may be more seasonal and less reliable during non-holiday quarters.</t>
  </si>
  <si>
    <t>This suggests that not all newly acquired customers are of the same quality.</t>
  </si>
  <si>
    <t>Pre-2021</t>
  </si>
  <si>
    <t>How healthy is KazMarket’s customer base?</t>
  </si>
  <si>
    <t>The customer base shows both strengths and weaknesses.</t>
  </si>
  <si>
    <t>Acquisition appears to be growing overall, although there was a dip in 2022.</t>
  </si>
  <si>
    <t>Retention weakens after the first purchase, which is normal to some extent, but repeat buying remains a strategic concern.</t>
  </si>
  <si>
    <t>Profitability remains relatively solid because retained customers still generate value and order frequency helps support profit.</t>
  </si>
  <si>
    <t>However, the business is exposed to risk because value is concentrated among top customers and some cohorts show seasonal dependence.</t>
  </si>
  <si>
    <t>One strength</t>
  </si>
  <si>
    <t>KazMarket has a high-value customer segment that generates a disproportionate share of revenue and profit.</t>
  </si>
  <si>
    <t>One weakness</t>
  </si>
  <si>
    <t>Customer value is highly concentrated, and repeat purchasing weakens over time across cohorts.</t>
  </si>
  <si>
    <t>Growth potential</t>
  </si>
  <si>
    <t>Growth potential exists, but it depends on improving retention, increasing repeat purchases, and acquiring customers who become profitable beyond the holiday season.</t>
  </si>
  <si>
    <t>QUESTION 1</t>
  </si>
  <si>
    <t>How many customers does KazMarket really have? Use a consistent definition.</t>
  </si>
  <si>
    <t>KazMarket should define its real customers as unique customers who made at least one purchase during the relevant year. Using this definition, the company had 31,797 active customers in 2024. From a managerial perspective, it is also important to distinguish between all historical customers and economically active customers, because not every acquired customer remains valuable over time.</t>
  </si>
  <si>
    <t>QUESTION 2</t>
  </si>
  <si>
    <t>How different are these customers?</t>
  </si>
  <si>
    <t>KazMarket’s customers are highly heterogeneous. The top decile alone generates about 39.8% of total profit and about 39.6% of total revenue, while the bottom 50% of customers contribute only around 15% of total profit. This shows that customer value is strongly concentrated in a relatively small segment. The top decile also differs behaviorally, especially through much higher transaction frequency.</t>
  </si>
  <si>
    <t>1) How does behavior evolve over time?</t>
  </si>
  <si>
    <t>Customer behavior changes significantly after the first purchase. The number of active customers declines sharply after the acquisition quarter, which indicates cohort shakeout and latent attrition. At the same time, the spending of retained customers remains relatively stable in some periods, especially during Q4 seasonal peaks. This suggests that retention, rather than immediate customer value, is the main challenge.</t>
  </si>
  <si>
    <t>2) Are different cohorts behaving differently?</t>
  </si>
  <si>
    <t>Yes, different cohorts behave differently. Customers acquired in Q4 show stronger seasonal repeat behavior in later Q4 periods, which suggests holiday-driven shopping patterns. In contrast, the Q3 2021 cohort appears relatively more stable across non-holiday periods. This means cohort quality is not uniform over time.</t>
  </si>
  <si>
    <t>KazMarket’s customer base is moderately healthy, but with important risks. Acquisition trends are generally positive, and profitability remains supported by valuable retained customers. However, retention weakens over time, and the company is highly dependent on a relatively small set of top customers. This creates vulnerability if behavior in that group changes.</t>
  </si>
  <si>
    <t>One strength and one weakness</t>
  </si>
  <si>
    <t>A strong high-value segment generates a large share of total revenue and profit.</t>
  </si>
  <si>
    <t>Repeat buying declines over time, and customer value is concentrated in a small share of the base.</t>
  </si>
  <si>
    <t>5) Growth potential</t>
  </si>
  <si>
    <t>KazMarket has growth potential, but sustainable growth will depend more on improving retention and customer development than on acquisition alone. The biggest opportunity is to move more customers from one-time or low-frequency purchasing into repeat, higher-value behavior</t>
  </si>
  <si>
    <t>6) Other analyses</t>
  </si>
  <si>
    <t>Additional analyses that would be useful include RFM segmentation, retention and churn analysis, customer lifetime value analysis, acquisition channel analysis, and margin analysis by segment. These would help identify which customers should be acquired, retained, and developed.</t>
  </si>
  <si>
    <t>ID</t>
  </si>
  <si>
    <t>Price</t>
  </si>
  <si>
    <t>Upper limit</t>
  </si>
  <si>
    <t>Frequency, Cumulative</t>
  </si>
  <si>
    <t>001</t>
  </si>
  <si>
    <t>Группа данных "Price"</t>
  </si>
  <si>
    <t>COUNTA из Price</t>
  </si>
  <si>
    <t>100 - 199</t>
  </si>
  <si>
    <t>002</t>
  </si>
  <si>
    <t>200 - 299</t>
  </si>
  <si>
    <t>003</t>
  </si>
  <si>
    <t>300 - 399</t>
  </si>
  <si>
    <t>004</t>
  </si>
  <si>
    <t>400 - 499</t>
  </si>
  <si>
    <t>005</t>
  </si>
  <si>
    <t>500 - 599</t>
  </si>
  <si>
    <t>006</t>
  </si>
  <si>
    <t>600 - 700</t>
  </si>
  <si>
    <t>007</t>
  </si>
  <si>
    <t>008</t>
  </si>
  <si>
    <t>Итого</t>
  </si>
  <si>
    <t>009</t>
  </si>
  <si>
    <t>010</t>
  </si>
  <si>
    <t xml:space="preserve">Grouped </t>
  </si>
  <si>
    <t xml:space="preserve">COUNT of </t>
  </si>
  <si>
    <t>011</t>
  </si>
  <si>
    <t>012</t>
  </si>
  <si>
    <t>Midpoint</t>
  </si>
  <si>
    <t>Frequency</t>
  </si>
  <si>
    <t>013</t>
  </si>
  <si>
    <t>014</t>
  </si>
  <si>
    <t>015</t>
  </si>
  <si>
    <t>016</t>
  </si>
  <si>
    <t>600 - 699</t>
  </si>
  <si>
    <t>017</t>
  </si>
  <si>
    <t>018</t>
  </si>
  <si>
    <t>Grand Total</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</si>
  <si>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</si>
  <si>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</si>
  <si>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</si>
  <si>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</si>
  <si>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</si>
  <si>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</si>
  <si>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</si>
  <si>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</si>
  <si>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</si>
  <si>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</si>
  <si>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</si>
  <si>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</si>
  <si>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</si>
  <si>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</si>
  <si>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</si>
  <si>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</si>
  <si>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</si>
  <si>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</si>
  <si>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</si>
  <si>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</si>
  <si>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</si>
  <si>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</si>
  <si>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</si>
  <si>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TABLE 2.4  waiting time in minutes</t>
  </si>
  <si>
    <t>Группа данных "TABLE 2.4  waiting time in minutes"</t>
  </si>
  <si>
    <t>COUNTA из TABLE 2.4  waiting time in minutes</t>
  </si>
  <si>
    <t>Cumulative frequency</t>
  </si>
  <si>
    <t>10,00 - 14,00</t>
  </si>
  <si>
    <t>15,00 - 19,00</t>
  </si>
  <si>
    <t>20,00 - 24,00</t>
  </si>
  <si>
    <t>25,00 - 29,00</t>
  </si>
  <si>
    <t>30,00 - 35,00</t>
  </si>
  <si>
    <t>Sqft</t>
  </si>
  <si>
    <t>Price, SIngle</t>
  </si>
  <si>
    <t>Price, Condo</t>
  </si>
  <si>
    <t>Type</t>
  </si>
  <si>
    <t>Single</t>
  </si>
  <si>
    <t>Condo</t>
  </si>
  <si>
    <t>Restaurant</t>
  </si>
  <si>
    <t>Quality Rating</t>
  </si>
  <si>
    <t>Meal Price (KZT)</t>
  </si>
  <si>
    <t>COUNTA из Quality Rating</t>
  </si>
  <si>
    <t>AVERAGE из Meal Price (KZT)</t>
  </si>
  <si>
    <t>Группа данных "Meal Price (KZT)"</t>
  </si>
  <si>
    <t>Restaurant B</t>
  </si>
  <si>
    <t>neutral</t>
  </si>
  <si>
    <t>bad</t>
  </si>
  <si>
    <t>0,00 - 4 999,00</t>
  </si>
  <si>
    <t>5 000,00 - 9 999,00</t>
  </si>
  <si>
    <t>10 000,00 - 14 999,00</t>
  </si>
  <si>
    <t>15 000,00 - 20 000,00</t>
  </si>
  <si>
    <t>Restaurant C</t>
  </si>
  <si>
    <t>excellent</t>
  </si>
  <si>
    <t>Restaurant A</t>
  </si>
  <si>
    <t>good</t>
  </si>
  <si>
    <t>Restaurant E</t>
  </si>
  <si>
    <t>Restaurant D</t>
  </si>
  <si>
    <t>very bad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</si>
</sst>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00000000000000"/>
    <numFmt numFmtId="165" formatCode="0.0"/>
    <numFmt numFmtId="166" formatCode="[$$-409]#,##0"/>
    <numFmt numFmtId="167" formatCode="_(* #,##0_);_(* \(#,##0\);_(* &quot;-&quot;??_);_(@_)"/>
    <numFmt numFmtId="168" formatCode="_(* #,##0.0_);_(* \(#,##0.0\);_(* &quot;-&quot;??_);_(@_)"/>
  </numFmts>
  <fonts count="12">
    <font>
      <sz val="10.0"/>
      <color rgb="FF000000"/>
      <name val="Arial"/>
      <scheme val="minor"/>
    </font>
    <font>
      <color theme="1"/>
      <name val="Arial"/>
    </font>
    <font>
      <sz val="11.0"/>
      <color theme="1"/>
      <name val="Calibri"/>
    </font>
    <font>
      <sz val="11.0"/>
      <color theme="1"/>
      <name val="Arial"/>
    </font>
    <font>
      <color theme="1"/>
      <name val="Arial"/>
      <scheme val="minor"/>
    </font>
    <font>
      <b/>
      <sz val="11.0"/>
      <color rgb="FFC00000"/>
      <name val="Calibri"/>
    </font>
    <font>
      <u/>
      <sz val="11.0"/>
      <color rgb="FF1155CC"/>
      <name val="Calibri"/>
    </font>
    <font>
      <u/>
      <sz val="11.0"/>
      <color rgb="FF1155CC"/>
      <name val="Calibri"/>
    </font>
    <font>
      <sz val="11.0"/>
      <color rgb="FFC00000"/>
      <name val="Calibri"/>
    </font>
    <font>
      <b/>
      <color rgb="FFBEB0D0"/>
      <name val="Arial"/>
    </font>
    <font>
      <sz val="9.0"/>
      <color rgb="FF242021"/>
      <name val="Avenir"/>
    </font>
    <font>
      <b/>
      <color theme="1"/>
      <name val="Arial"/>
    </font>
  </fonts>
  <fills count="7">
    <fill>
      <patternFill patternType="none"/>
    </fill>
    <fill>
      <patternFill patternType="lightGray"/>
    </fill>
    <fill>
      <patternFill patternType="solid">
        <fgColor rgb="FFE7E6E6"/>
        <bgColor rgb="FFE7E6E6"/>
      </patternFill>
    </fill>
    <fill>
      <patternFill patternType="solid">
        <fgColor rgb="FFFFFF00"/>
        <bgColor rgb="FFFFFF00"/>
      </patternFill>
    </fill>
    <fill>
      <patternFill patternType="solid">
        <fgColor rgb="FFFF9900"/>
        <bgColor rgb="FFFF9900"/>
      </patternFill>
    </fill>
    <fill>
      <patternFill patternType="solid">
        <fgColor rgb="FF00FF00"/>
        <bgColor rgb="FF00FF00"/>
      </patternFill>
    </fill>
    <fill>
      <patternFill patternType="solid">
        <fgColor rgb="FF999999"/>
        <bgColor rgb="FF999999"/>
      </patternFill>
    </fill>
  </fills>
  <borders count="8">
    <border/>
    <border>
      <left/>
      <right/>
      <top/>
      <bottom/>
    </border>
    <border>
      <left/>
      <right/>
      <top style="thin">
        <color rgb="FF000000"/>
      </top>
      <bottom/>
    </border>
    <border>
      <left/>
      <right/>
      <top/>
      <bottom style="double">
        <color rgb="FF000000"/>
      </bottom>
    </border>
    <border>
      <top style="thin">
        <color rgb="FF000000"/>
      </top>
      <bottom style="thin">
        <color rgb="FF000000"/>
      </bottom>
    </border>
    <border>
      <top style="thin">
        <color rgb="FF000000"/>
      </top>
    </border>
    <border>
      <bottom style="double">
        <color rgb="FF000000"/>
      </bottom>
    </border>
    <border>
      <left/>
      <right/>
      <top/>
      <bottom style="medium">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vertical="bottom"/>
    </xf>
    <xf borderId="0" fillId="0" fontId="1" numFmtId="10" xfId="0" applyAlignment="1" applyFont="1" applyNumberFormat="1">
      <alignment vertical="bottom"/>
    </xf>
    <xf borderId="0" fillId="0" fontId="1" numFmtId="164" xfId="0" applyAlignment="1" applyFont="1" applyNumberFormat="1">
      <alignment vertical="bottom"/>
    </xf>
    <xf borderId="0" fillId="2" fontId="2" numFmtId="0" xfId="0" applyAlignment="1" applyFill="1" applyFont="1">
      <alignment horizontal="right" shrinkToFit="0" vertical="bottom" wrapText="1"/>
    </xf>
    <xf borderId="0" fillId="2" fontId="2" numFmtId="10" xfId="0" applyAlignment="1" applyFont="1" applyNumberFormat="1">
      <alignment horizontal="right" shrinkToFit="0" vertical="bottom" wrapText="1"/>
    </xf>
    <xf borderId="0" fillId="3" fontId="1" numFmtId="0" xfId="0" applyAlignment="1" applyFill="1" applyFont="1">
      <alignment shrinkToFit="0" vertical="bottom" wrapText="1"/>
    </xf>
    <xf borderId="0" fillId="0" fontId="1" numFmtId="0" xfId="0" applyAlignment="1" applyFont="1">
      <alignment shrinkToFit="0" vertical="bottom" wrapText="1"/>
    </xf>
    <xf borderId="1" fillId="2" fontId="2" numFmtId="0" xfId="0" applyAlignment="1" applyBorder="1" applyFont="1">
      <alignment horizontal="right" vertical="bottom"/>
    </xf>
    <xf borderId="1" fillId="2" fontId="2" numFmtId="3" xfId="0" applyAlignment="1" applyBorder="1" applyFont="1" applyNumberFormat="1">
      <alignment horizontal="right" vertical="bottom"/>
    </xf>
    <xf borderId="0" fillId="0" fontId="1" numFmtId="9" xfId="0" applyAlignment="1" applyFont="1" applyNumberFormat="1">
      <alignment horizontal="right" vertical="bottom"/>
    </xf>
    <xf borderId="0" fillId="0" fontId="1" numFmtId="10" xfId="0" applyAlignment="1" applyFont="1" applyNumberFormat="1">
      <alignment horizontal="right" vertical="bottom"/>
    </xf>
    <xf borderId="0" fillId="3" fontId="1" numFmtId="4" xfId="0" applyAlignment="1" applyFont="1" applyNumberFormat="1">
      <alignment horizontal="right" vertical="bottom"/>
    </xf>
    <xf borderId="0" fillId="3" fontId="1" numFmtId="165" xfId="0" applyAlignment="1" applyFont="1" applyNumberFormat="1">
      <alignment horizontal="right" vertical="bottom"/>
    </xf>
    <xf borderId="0" fillId="3" fontId="1" numFmtId="166" xfId="0" applyAlignment="1" applyFont="1" applyNumberFormat="1">
      <alignment horizontal="right" vertical="bottom"/>
    </xf>
    <xf borderId="0" fillId="3" fontId="1" numFmtId="9" xfId="0" applyAlignment="1" applyFont="1" applyNumberFormat="1">
      <alignment horizontal="right" vertical="bottom"/>
    </xf>
    <xf borderId="2" fillId="2" fontId="2" numFmtId="0" xfId="0" applyAlignment="1" applyBorder="1" applyFont="1">
      <alignment horizontal="right" vertical="bottom"/>
    </xf>
    <xf borderId="2" fillId="2" fontId="2" numFmtId="3" xfId="0" applyAlignment="1" applyBorder="1" applyFont="1" applyNumberFormat="1">
      <alignment horizontal="right" vertical="bottom"/>
    </xf>
    <xf borderId="0" fillId="4" fontId="1" numFmtId="4" xfId="0" applyAlignment="1" applyFill="1" applyFont="1" applyNumberFormat="1">
      <alignment horizontal="right" vertical="bottom"/>
    </xf>
    <xf borderId="0" fillId="4" fontId="1" numFmtId="165" xfId="0" applyAlignment="1" applyFont="1" applyNumberFormat="1">
      <alignment horizontal="right" vertical="bottom"/>
    </xf>
    <xf borderId="0" fillId="4" fontId="1" numFmtId="166" xfId="0" applyAlignment="1" applyFont="1" applyNumberFormat="1">
      <alignment horizontal="right" vertical="bottom"/>
    </xf>
    <xf borderId="0" fillId="4" fontId="1" numFmtId="9" xfId="0" applyAlignment="1" applyFont="1" applyNumberFormat="1">
      <alignment horizontal="right" vertical="bottom"/>
    </xf>
    <xf borderId="0" fillId="5" fontId="1" numFmtId="4" xfId="0" applyAlignment="1" applyFill="1" applyFont="1" applyNumberFormat="1">
      <alignment horizontal="right" vertical="bottom"/>
    </xf>
    <xf borderId="0" fillId="5" fontId="1" numFmtId="165" xfId="0" applyAlignment="1" applyFont="1" applyNumberFormat="1">
      <alignment horizontal="right" vertical="bottom"/>
    </xf>
    <xf borderId="0" fillId="5" fontId="1" numFmtId="166" xfId="0" applyAlignment="1" applyFont="1" applyNumberFormat="1">
      <alignment horizontal="right" vertical="bottom"/>
    </xf>
    <xf borderId="0" fillId="5" fontId="1" numFmtId="9" xfId="0" applyAlignment="1" applyFont="1" applyNumberFormat="1">
      <alignment horizontal="right" vertical="bottom"/>
    </xf>
    <xf borderId="3" fillId="6" fontId="2" numFmtId="0" xfId="0" applyAlignment="1" applyBorder="1" applyFill="1" applyFont="1">
      <alignment vertical="bottom"/>
    </xf>
    <xf borderId="3" fillId="6" fontId="2" numFmtId="3" xfId="0" applyAlignment="1" applyBorder="1" applyFont="1" applyNumberFormat="1">
      <alignment horizontal="right" vertical="bottom"/>
    </xf>
    <xf borderId="0" fillId="0" fontId="1" numFmtId="4" xfId="0" applyAlignment="1" applyFont="1" applyNumberFormat="1">
      <alignment vertical="bottom"/>
    </xf>
    <xf borderId="0" fillId="0" fontId="1" numFmtId="4" xfId="0" applyAlignment="1" applyFont="1" applyNumberFormat="1">
      <alignment horizontal="right" vertical="bottom"/>
    </xf>
    <xf borderId="0" fillId="0" fontId="1" numFmtId="165" xfId="0" applyAlignment="1" applyFont="1" applyNumberFormat="1">
      <alignment horizontal="right" vertical="bottom"/>
    </xf>
    <xf borderId="0" fillId="0" fontId="1" numFmtId="166" xfId="0" applyAlignment="1" applyFont="1" applyNumberFormat="1">
      <alignment horizontal="right" vertical="bottom"/>
    </xf>
    <xf borderId="1" fillId="0" fontId="2" numFmtId="0" xfId="0" applyAlignment="1" applyBorder="1" applyFont="1">
      <alignment vertical="bottom"/>
    </xf>
    <xf borderId="1" fillId="0" fontId="1" numFmtId="0" xfId="0" applyAlignment="1" applyBorder="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readingOrder="0"/>
    </xf>
    <xf borderId="1" fillId="2" fontId="2" numFmtId="0" xfId="0" applyAlignment="1" applyBorder="1" applyFont="1">
      <alignment horizontal="right" shrinkToFit="0" vertical="bottom" wrapText="1"/>
    </xf>
    <xf borderId="3" fillId="2" fontId="2" numFmtId="0" xfId="0" applyAlignment="1" applyBorder="1" applyFont="1">
      <alignment horizontal="right" vertical="bottom"/>
    </xf>
    <xf borderId="3" fillId="2" fontId="2" numFmtId="3" xfId="0" applyAlignment="1" applyBorder="1" applyFont="1" applyNumberFormat="1">
      <alignment horizontal="right" vertical="bottom"/>
    </xf>
    <xf borderId="4" fillId="0" fontId="2" numFmtId="0" xfId="0" applyAlignment="1" applyBorder="1" applyFont="1">
      <alignment horizontal="right" shrinkToFit="0" vertical="bottom" wrapText="1"/>
    </xf>
    <xf borderId="5" fillId="0" fontId="2" numFmtId="0" xfId="0" applyAlignment="1" applyBorder="1" applyFont="1">
      <alignment horizontal="right" vertical="bottom"/>
    </xf>
    <xf borderId="5" fillId="0" fontId="2" numFmtId="3" xfId="0" applyAlignment="1" applyBorder="1" applyFont="1" applyNumberFormat="1">
      <alignment horizontal="right" vertical="bottom"/>
    </xf>
    <xf borderId="5" fillId="0" fontId="2" numFmtId="167" xfId="0" applyAlignment="1" applyBorder="1" applyFont="1" applyNumberFormat="1">
      <alignment horizontal="right" vertical="bottom"/>
    </xf>
    <xf borderId="5" fillId="0" fontId="2" numFmtId="9" xfId="0" applyAlignment="1" applyBorder="1" applyFont="1" applyNumberFormat="1">
      <alignment horizontal="right" vertical="bottom"/>
    </xf>
    <xf borderId="5" fillId="0" fontId="2" numFmtId="1" xfId="0" applyAlignment="1" applyBorder="1" applyFont="1" applyNumberFormat="1">
      <alignment horizontal="right" vertical="bottom"/>
    </xf>
    <xf borderId="5" fillId="0" fontId="2" numFmtId="165" xfId="0" applyAlignment="1" applyBorder="1" applyFont="1" applyNumberFormat="1">
      <alignment horizontal="right" vertical="bottom"/>
    </xf>
    <xf borderId="0" fillId="0" fontId="2" numFmtId="0" xfId="0" applyAlignment="1" applyFont="1">
      <alignment horizontal="right" vertical="bottom"/>
    </xf>
    <xf borderId="0" fillId="0" fontId="2" numFmtId="3" xfId="0" applyAlignment="1" applyFont="1" applyNumberFormat="1">
      <alignment horizontal="right" vertical="bottom"/>
    </xf>
    <xf borderId="0" fillId="0" fontId="2" numFmtId="167" xfId="0" applyAlignment="1" applyFont="1" applyNumberFormat="1">
      <alignment horizontal="right" vertical="bottom"/>
    </xf>
    <xf borderId="0" fillId="0" fontId="2" numFmtId="9" xfId="0" applyAlignment="1" applyFont="1" applyNumberFormat="1">
      <alignment horizontal="right" vertical="bottom"/>
    </xf>
    <xf borderId="0" fillId="0" fontId="2" numFmtId="1" xfId="0" applyAlignment="1" applyFont="1" applyNumberFormat="1">
      <alignment horizontal="right" vertical="bottom"/>
    </xf>
    <xf borderId="0" fillId="0" fontId="2" numFmtId="165" xfId="0" applyAlignment="1" applyFont="1" applyNumberFormat="1">
      <alignment horizontal="right" vertical="bottom"/>
    </xf>
    <xf borderId="6" fillId="0" fontId="2" numFmtId="0" xfId="0" applyAlignment="1" applyBorder="1" applyFont="1">
      <alignment horizontal="right" vertical="bottom"/>
    </xf>
    <xf borderId="6" fillId="0" fontId="2" numFmtId="3" xfId="0" applyAlignment="1" applyBorder="1" applyFont="1" applyNumberFormat="1">
      <alignment horizontal="right" vertical="bottom"/>
    </xf>
    <xf borderId="6" fillId="0" fontId="2" numFmtId="167" xfId="0" applyAlignment="1" applyBorder="1" applyFont="1" applyNumberFormat="1">
      <alignment horizontal="right" vertical="bottom"/>
    </xf>
    <xf borderId="6" fillId="0" fontId="2" numFmtId="9" xfId="0" applyAlignment="1" applyBorder="1" applyFont="1" applyNumberFormat="1">
      <alignment horizontal="right" vertical="bottom"/>
    </xf>
    <xf borderId="6" fillId="0" fontId="2" numFmtId="1" xfId="0" applyAlignment="1" applyBorder="1" applyFont="1" applyNumberFormat="1">
      <alignment horizontal="right" vertical="bottom"/>
    </xf>
    <xf borderId="6" fillId="0" fontId="2" numFmtId="165" xfId="0" applyAlignment="1" applyBorder="1" applyFont="1" applyNumberFormat="1">
      <alignment horizontal="right" vertical="bottom"/>
    </xf>
    <xf borderId="0" fillId="0" fontId="4" numFmtId="0" xfId="0" applyAlignment="1" applyFont="1">
      <alignment readingOrder="0" shrinkToFit="0" wrapText="0"/>
    </xf>
    <xf borderId="0" fillId="0" fontId="5" numFmtId="0" xfId="0" applyAlignment="1" applyFont="1">
      <alignment horizontal="center" vertical="bottom"/>
    </xf>
    <xf borderId="1" fillId="2" fontId="2" numFmtId="3" xfId="0" applyAlignment="1" applyBorder="1" applyFont="1" applyNumberFormat="1">
      <alignment horizontal="right" shrinkToFit="0" vertical="bottom" wrapText="1"/>
    </xf>
    <xf borderId="1" fillId="2" fontId="2" numFmtId="4" xfId="0" applyAlignment="1" applyBorder="1" applyFont="1" applyNumberFormat="1">
      <alignment horizontal="right" shrinkToFit="0" vertical="bottom" wrapText="1"/>
    </xf>
    <xf borderId="0" fillId="0" fontId="1" numFmtId="3" xfId="0" applyAlignment="1" applyFont="1" applyNumberFormat="1">
      <alignment vertical="bottom"/>
    </xf>
    <xf borderId="1" fillId="2" fontId="2" numFmtId="4" xfId="0" applyAlignment="1" applyBorder="1" applyFont="1" applyNumberFormat="1">
      <alignment horizontal="right" vertical="bottom"/>
    </xf>
    <xf borderId="1" fillId="2" fontId="1" numFmtId="3" xfId="0" applyAlignment="1" applyBorder="1" applyFont="1" applyNumberFormat="1">
      <alignment vertical="bottom"/>
    </xf>
    <xf borderId="1" fillId="2" fontId="1" numFmtId="0" xfId="0" applyAlignment="1" applyBorder="1" applyFont="1">
      <alignment vertical="bottom"/>
    </xf>
    <xf borderId="3" fillId="2" fontId="2" numFmtId="4" xfId="0" applyAlignment="1" applyBorder="1" applyFont="1" applyNumberFormat="1">
      <alignment horizontal="right" vertical="bottom"/>
    </xf>
    <xf borderId="4" fillId="0" fontId="2" numFmtId="0" xfId="0" applyAlignment="1" applyBorder="1" applyFont="1">
      <alignment shrinkToFit="0" vertical="bottom" wrapText="1"/>
    </xf>
    <xf borderId="0" fillId="0" fontId="1" numFmtId="168" xfId="0" applyAlignment="1" applyFont="1" applyNumberFormat="1">
      <alignment vertical="bottom"/>
    </xf>
    <xf borderId="0" fillId="0" fontId="1" numFmtId="167" xfId="0" applyAlignment="1" applyFont="1" applyNumberFormat="1">
      <alignment vertical="bottom"/>
    </xf>
    <xf borderId="0" fillId="0" fontId="1" numFmtId="9" xfId="0" applyAlignment="1" applyFont="1" applyNumberFormat="1">
      <alignment vertical="bottom"/>
    </xf>
    <xf borderId="0" fillId="0" fontId="1" numFmtId="165" xfId="0" applyAlignment="1" applyFont="1" applyNumberFormat="1">
      <alignment vertical="bottom"/>
    </xf>
    <xf borderId="0" fillId="0" fontId="6" numFmtId="0" xfId="0" applyAlignment="1" applyFont="1">
      <alignment horizontal="right" readingOrder="0" vertical="bottom"/>
    </xf>
    <xf borderId="6" fillId="0" fontId="2" numFmtId="4" xfId="0" applyAlignment="1" applyBorder="1" applyFont="1" applyNumberFormat="1">
      <alignment horizontal="right" vertical="bottom"/>
    </xf>
    <xf borderId="0" fillId="0" fontId="2" numFmtId="0" xfId="0" applyAlignment="1" applyFont="1">
      <alignment horizontal="center" vertical="bottom"/>
    </xf>
    <xf borderId="0" fillId="0" fontId="1" numFmtId="1" xfId="0" applyAlignment="1" applyFont="1" applyNumberFormat="1">
      <alignment vertical="bottom"/>
    </xf>
    <xf borderId="0" fillId="0" fontId="7" numFmtId="0" xfId="0" applyAlignment="1" applyFont="1">
      <alignment horizontal="center" readingOrder="0" vertical="bottom"/>
    </xf>
    <xf borderId="1" fillId="2" fontId="8" numFmtId="0" xfId="0" applyAlignment="1" applyBorder="1" applyFont="1">
      <alignment vertical="bottom"/>
    </xf>
    <xf borderId="7" fillId="2" fontId="2" numFmtId="0" xfId="0" applyAlignment="1" applyBorder="1" applyFont="1">
      <alignment horizontal="right" vertical="bottom"/>
    </xf>
    <xf borderId="0" fillId="0" fontId="1" numFmtId="0" xfId="0" applyAlignment="1" applyFont="1">
      <alignment horizontal="right" vertical="bottom"/>
    </xf>
    <xf borderId="0" fillId="0" fontId="4" numFmtId="0" xfId="0" applyFont="1"/>
    <xf borderId="0" fillId="0" fontId="4" numFmtId="10" xfId="0" applyFont="1" applyNumberFormat="1"/>
    <xf borderId="0" fillId="0" fontId="1" numFmtId="4" xfId="0" applyAlignment="1" applyFont="1" applyNumberFormat="1">
      <alignment horizontal="right" readingOrder="0" vertical="bottom"/>
    </xf>
    <xf borderId="0" fillId="0" fontId="9" numFmtId="4" xfId="0" applyAlignment="1" applyFont="1" applyNumberFormat="1">
      <alignment vertical="bottom"/>
    </xf>
    <xf borderId="0" fillId="0" fontId="10" numFmtId="4" xfId="0" applyAlignment="1" applyFont="1" applyNumberFormat="1">
      <alignment horizontal="right" vertical="bottom"/>
    </xf>
    <xf borderId="0" fillId="0" fontId="1" numFmtId="3" xfId="0" applyAlignment="1" applyFont="1" applyNumberFormat="1">
      <alignment horizontal="right" vertical="bottom"/>
    </xf>
    <xf borderId="0" fillId="0" fontId="11" numFmtId="0" xfId="0" applyAlignment="1" applyFont="1">
      <alignment horizontal="center" vertical="bottom"/>
    </xf>
    <xf borderId="0" fillId="0" fontId="11" numFmtId="4" xfId="0" applyAlignment="1" applyFont="1" applyNumberFormat="1">
      <alignment horizontal="center" vertical="bottom"/>
    </xf>
    <xf borderId="0" fillId="0" fontId="4"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7" Type="http://schemas.openxmlformats.org/officeDocument/2006/relationships/pivotCacheDefinition" Target="pivotCache/pivotCacheDefinition4.xml"/><Relationship Id="rId16" Type="http://schemas.openxmlformats.org/officeDocument/2006/relationships/pivotCacheDefinition" Target="pivotCache/pivotCacheDefinition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Declies!$H$2</c:f>
            </c:strRef>
          </c:tx>
          <c:spPr>
            <a:solidFill>
              <a:schemeClr val="accent1"/>
            </a:solidFill>
            <a:ln cmpd="sng">
              <a:solidFill>
                <a:srgbClr val="000000"/>
              </a:solidFill>
            </a:ln>
          </c:spPr>
          <c:val>
            <c:numRef>
              <c:f>Declies!$H$3:$H$12</c:f>
              <c:numCache/>
            </c:numRef>
          </c:val>
        </c:ser>
        <c:ser>
          <c:idx val="1"/>
          <c:order val="1"/>
          <c:tx>
            <c:strRef>
              <c:f>Declies!$I$2</c:f>
            </c:strRef>
          </c:tx>
          <c:spPr>
            <a:solidFill>
              <a:schemeClr val="accent2"/>
            </a:solidFill>
            <a:ln cmpd="sng">
              <a:solidFill>
                <a:srgbClr val="000000"/>
              </a:solidFill>
            </a:ln>
          </c:spPr>
          <c:val>
            <c:numRef>
              <c:f>Declies!$I$3:$I$12</c:f>
              <c:numCache/>
            </c:numRef>
          </c:val>
        </c:ser>
        <c:axId val="1344608962"/>
        <c:axId val="1687231485"/>
      </c:barChart>
      <c:catAx>
        <c:axId val="13446089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87231485"/>
      </c:catAx>
      <c:valAx>
        <c:axId val="16872314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460896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Declies!$L$2</c:f>
            </c:strRef>
          </c:tx>
          <c:spPr>
            <a:solidFill>
              <a:schemeClr val="accent1"/>
            </a:solidFill>
            <a:ln cmpd="sng">
              <a:solidFill>
                <a:srgbClr val="000000"/>
              </a:solidFill>
            </a:ln>
          </c:spPr>
          <c:val>
            <c:numRef>
              <c:f>Declies!$L$3:$L$12</c:f>
              <c:numCache/>
            </c:numRef>
          </c:val>
        </c:ser>
        <c:ser>
          <c:idx val="1"/>
          <c:order val="1"/>
          <c:tx>
            <c:strRef>
              <c:f>Declies!$M$2</c:f>
            </c:strRef>
          </c:tx>
          <c:spPr>
            <a:solidFill>
              <a:schemeClr val="accent2"/>
            </a:solidFill>
            <a:ln cmpd="sng">
              <a:solidFill>
                <a:srgbClr val="000000"/>
              </a:solidFill>
            </a:ln>
          </c:spPr>
          <c:val>
            <c:numRef>
              <c:f>Declies!$M$3:$M$12</c:f>
              <c:numCache/>
            </c:numRef>
          </c:val>
        </c:ser>
        <c:ser>
          <c:idx val="2"/>
          <c:order val="2"/>
          <c:tx>
            <c:strRef>
              <c:f>Declies!$N$2</c:f>
            </c:strRef>
          </c:tx>
          <c:spPr>
            <a:solidFill>
              <a:schemeClr val="accent3"/>
            </a:solidFill>
            <a:ln cmpd="sng">
              <a:solidFill>
                <a:srgbClr val="000000"/>
              </a:solidFill>
            </a:ln>
          </c:spPr>
          <c:val>
            <c:numRef>
              <c:f>Declies!$N$3:$N$12</c:f>
              <c:numCache/>
            </c:numRef>
          </c:val>
        </c:ser>
        <c:ser>
          <c:idx val="3"/>
          <c:order val="3"/>
          <c:tx>
            <c:strRef>
              <c:f>Declies!$J$2</c:f>
            </c:strRef>
          </c:tx>
          <c:spPr>
            <a:solidFill>
              <a:schemeClr val="accent4"/>
            </a:solidFill>
            <a:ln cmpd="sng">
              <a:solidFill>
                <a:srgbClr val="000000"/>
              </a:solidFill>
            </a:ln>
          </c:spPr>
          <c:val>
            <c:numRef>
              <c:f>Declies!$J$3:$J$12</c:f>
              <c:numCache/>
            </c:numRef>
          </c:val>
        </c:ser>
        <c:ser>
          <c:idx val="4"/>
          <c:order val="4"/>
          <c:tx>
            <c:strRef>
              <c:f>Declies!$K$2</c:f>
            </c:strRef>
          </c:tx>
          <c:spPr>
            <a:solidFill>
              <a:schemeClr val="accent5"/>
            </a:solidFill>
            <a:ln cmpd="sng">
              <a:solidFill>
                <a:srgbClr val="000000"/>
              </a:solidFill>
            </a:ln>
          </c:spPr>
          <c:val>
            <c:numRef>
              <c:f>Declies!$K$3:$K$12</c:f>
              <c:numCache/>
            </c:numRef>
          </c:val>
        </c:ser>
        <c:overlap val="100"/>
        <c:axId val="2109351583"/>
        <c:axId val="2050619976"/>
      </c:barChart>
      <c:catAx>
        <c:axId val="21093515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50619976"/>
      </c:catAx>
      <c:valAx>
        <c:axId val="20506199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935158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Cohort!$F$1</c:f>
            </c:strRef>
          </c:tx>
          <c:spPr>
            <a:ln cmpd="sng">
              <a:solidFill>
                <a:srgbClr val="4285F4"/>
              </a:solidFill>
            </a:ln>
          </c:spPr>
          <c:marker>
            <c:symbol val="none"/>
          </c:marker>
          <c:cat>
            <c:strRef>
              <c:f>Cohort!$A$2:$A$17</c:f>
            </c:strRef>
          </c:cat>
          <c:val>
            <c:numRef>
              <c:f>Cohort!$F$2:$F$17</c:f>
              <c:numCache/>
            </c:numRef>
          </c:val>
          <c:smooth val="0"/>
        </c:ser>
        <c:axId val="1936656927"/>
        <c:axId val="2081053831"/>
      </c:lineChart>
      <c:catAx>
        <c:axId val="19366569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81053831"/>
      </c:catAx>
      <c:valAx>
        <c:axId val="20810538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665692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AOV относительно параметра "AOF"</a:t>
            </a:r>
          </a:p>
        </c:rich>
      </c:tx>
      <c:overlay val="0"/>
    </c:title>
    <c:plotArea>
      <c:layout/>
      <c:barChart>
        <c:barDir val="bar"/>
        <c:ser>
          <c:idx val="0"/>
          <c:order val="0"/>
          <c:tx>
            <c:strRef>
              <c:f>Cohort!$I$21</c:f>
            </c:strRef>
          </c:tx>
          <c:spPr>
            <a:solidFill>
              <a:schemeClr val="accent1"/>
            </a:solidFill>
            <a:ln cmpd="sng">
              <a:solidFill>
                <a:srgbClr val="000000"/>
              </a:solidFill>
            </a:ln>
          </c:spPr>
          <c:cat>
            <c:strRef>
              <c:f>Cohort!$H$22:$H$38</c:f>
            </c:strRef>
          </c:cat>
          <c:val>
            <c:numRef>
              <c:f>Cohort!$I$22:$I$38</c:f>
              <c:numCache/>
            </c:numRef>
          </c:val>
        </c:ser>
        <c:axId val="2053776231"/>
        <c:axId val="1680813620"/>
      </c:barChart>
      <c:catAx>
        <c:axId val="205377623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AOF</a:t>
                </a:r>
              </a:p>
            </c:rich>
          </c:tx>
          <c:overlay val="0"/>
        </c:title>
        <c:numFmt formatCode="General" sourceLinked="1"/>
        <c:majorTickMark val="none"/>
        <c:minorTickMark val="none"/>
        <c:spPr/>
        <c:txPr>
          <a:bodyPr/>
          <a:lstStyle/>
          <a:p>
            <a:pPr lvl="0">
              <a:defRPr b="0">
                <a:solidFill>
                  <a:srgbClr val="000000"/>
                </a:solidFill>
                <a:latin typeface="+mn-lt"/>
              </a:defRPr>
            </a:pPr>
          </a:p>
        </c:txPr>
        <c:crossAx val="1680813620"/>
      </c:catAx>
      <c:valAx>
        <c:axId val="168081362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AOV</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3776231"/>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active</a:t>
            </a:r>
          </a:p>
        </c:rich>
      </c:tx>
      <c:overlay val="0"/>
    </c:title>
    <c:plotArea>
      <c:layout/>
      <c:lineChart>
        <c:varyColors val="0"/>
        <c:ser>
          <c:idx val="0"/>
          <c:order val="0"/>
          <c:tx>
            <c:strRef>
              <c:f>'Three-cohort'!$F$22</c:f>
            </c:strRef>
          </c:tx>
          <c:spPr>
            <a:ln cmpd="sng">
              <a:solidFill>
                <a:srgbClr val="4285F4"/>
              </a:solidFill>
            </a:ln>
          </c:spPr>
          <c:marker>
            <c:symbol val="none"/>
          </c:marker>
          <c:val>
            <c:numRef>
              <c:f>'Three-cohort'!$F$23:$F$36</c:f>
              <c:numCache/>
            </c:numRef>
          </c:val>
          <c:smooth val="0"/>
        </c:ser>
        <c:axId val="1248140355"/>
        <c:axId val="771927956"/>
      </c:lineChart>
      <c:catAx>
        <c:axId val="12481403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71927956"/>
      </c:catAx>
      <c:valAx>
        <c:axId val="7719279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active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8140355"/>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100%</a:t>
            </a:r>
          </a:p>
        </c:rich>
      </c:tx>
      <c:overlay val="0"/>
    </c:title>
    <c:plotArea>
      <c:layout/>
      <c:lineChart>
        <c:varyColors val="0"/>
        <c:ser>
          <c:idx val="0"/>
          <c:order val="0"/>
          <c:tx>
            <c:strRef>
              <c:f>'Three-cohort'!$P$22</c:f>
            </c:strRef>
          </c:tx>
          <c:spPr>
            <a:ln cmpd="sng">
              <a:solidFill>
                <a:srgbClr val="4285F4"/>
              </a:solidFill>
            </a:ln>
          </c:spPr>
          <c:marker>
            <c:symbol val="none"/>
          </c:marker>
          <c:val>
            <c:numRef>
              <c:f>'Three-cohort'!$P$23:$P$36</c:f>
              <c:numCache/>
            </c:numRef>
          </c:val>
          <c:smooth val="0"/>
        </c:ser>
        <c:axId val="202945158"/>
        <c:axId val="642770678"/>
      </c:lineChart>
      <c:catAx>
        <c:axId val="2029451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42770678"/>
      </c:catAx>
      <c:valAx>
        <c:axId val="6427706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100%</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945158"/>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100%</a:t>
            </a:r>
          </a:p>
        </c:rich>
      </c:tx>
      <c:overlay val="0"/>
    </c:title>
    <c:plotArea>
      <c:layout/>
      <c:lineChart>
        <c:varyColors val="0"/>
        <c:ser>
          <c:idx val="0"/>
          <c:order val="0"/>
          <c:tx>
            <c:strRef>
              <c:f>'Three-cohort'!$Z$28</c:f>
            </c:strRef>
          </c:tx>
          <c:spPr>
            <a:ln cmpd="sng">
              <a:solidFill>
                <a:srgbClr val="4285F4"/>
              </a:solidFill>
            </a:ln>
          </c:spPr>
          <c:marker>
            <c:symbol val="none"/>
          </c:marker>
          <c:val>
            <c:numRef>
              <c:f>'Three-cohort'!$Z$29:$Z$36</c:f>
              <c:numCache/>
            </c:numRef>
          </c:val>
          <c:smooth val="0"/>
        </c:ser>
        <c:axId val="1407864983"/>
        <c:axId val="185571564"/>
      </c:lineChart>
      <c:catAx>
        <c:axId val="14078649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5571564"/>
      </c:catAx>
      <c:valAx>
        <c:axId val="1855715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100%</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7864983"/>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a:t>
            </a:r>
          </a:p>
        </c:rich>
      </c:tx>
      <c:overlay val="0"/>
    </c:title>
    <c:plotArea>
      <c:layout/>
      <c:lineChart>
        <c:varyColors val="0"/>
        <c:ser>
          <c:idx val="0"/>
          <c:order val="0"/>
          <c:tx>
            <c:strRef>
              <c:f>'Three-cohort'!$E$22</c:f>
            </c:strRef>
          </c:tx>
          <c:spPr>
            <a:ln cmpd="sng">
              <a:solidFill>
                <a:srgbClr val="4285F4"/>
              </a:solidFill>
            </a:ln>
          </c:spPr>
          <c:marker>
            <c:symbol val="none"/>
          </c:marker>
          <c:val>
            <c:numRef>
              <c:f>'Three-cohort'!$E$23:$E$36</c:f>
              <c:numCache/>
            </c:numRef>
          </c:val>
          <c:smooth val="0"/>
        </c:ser>
        <c:axId val="2030891715"/>
        <c:axId val="2011010750"/>
      </c:lineChart>
      <c:catAx>
        <c:axId val="20308917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11010750"/>
      </c:catAx>
      <c:valAx>
        <c:axId val="20110107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089171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26 164 050 </a:t>
            </a:r>
          </a:p>
        </c:rich>
      </c:tx>
      <c:overlay val="0"/>
    </c:title>
    <c:plotArea>
      <c:layout/>
      <c:lineChart>
        <c:varyColors val="0"/>
        <c:ser>
          <c:idx val="0"/>
          <c:order val="0"/>
          <c:tx>
            <c:strRef>
              <c:f>'Three-cohort'!$O$24</c:f>
            </c:strRef>
          </c:tx>
          <c:spPr>
            <a:ln cmpd="sng">
              <a:solidFill>
                <a:srgbClr val="4285F4"/>
              </a:solidFill>
            </a:ln>
          </c:spPr>
          <c:marker>
            <c:symbol val="none"/>
          </c:marker>
          <c:val>
            <c:numRef>
              <c:f>'Three-cohort'!$O$25:$O$36</c:f>
              <c:numCache/>
            </c:numRef>
          </c:val>
          <c:smooth val="0"/>
        </c:ser>
        <c:axId val="1270842922"/>
        <c:axId val="1612034419"/>
      </c:lineChart>
      <c:catAx>
        <c:axId val="12708429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12034419"/>
      </c:catAx>
      <c:valAx>
        <c:axId val="16120344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26 164 050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0842922"/>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22 577 830 </a:t>
            </a:r>
          </a:p>
        </c:rich>
      </c:tx>
      <c:overlay val="0"/>
    </c:title>
    <c:plotArea>
      <c:layout/>
      <c:lineChart>
        <c:varyColors val="0"/>
        <c:ser>
          <c:idx val="0"/>
          <c:order val="0"/>
          <c:tx>
            <c:strRef>
              <c:f>'Three-cohort'!$Y$28</c:f>
            </c:strRef>
          </c:tx>
          <c:spPr>
            <a:ln cmpd="sng">
              <a:solidFill>
                <a:srgbClr val="4285F4"/>
              </a:solidFill>
            </a:ln>
          </c:spPr>
          <c:marker>
            <c:symbol val="none"/>
          </c:marker>
          <c:val>
            <c:numRef>
              <c:f>'Three-cohort'!$Y$29:$Y$36</c:f>
              <c:numCache/>
            </c:numRef>
          </c:val>
          <c:smooth val="0"/>
        </c:ser>
        <c:axId val="1083110731"/>
        <c:axId val="147819166"/>
      </c:lineChart>
      <c:catAx>
        <c:axId val="10831107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7819166"/>
      </c:catAx>
      <c:valAx>
        <c:axId val="1478191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22 577 830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3110731"/>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Histogram!$H$2:$H$7</c:f>
            </c:strRef>
          </c:cat>
          <c:val>
            <c:numRef>
              <c:f>Histogram!$I$2:$I$7</c:f>
              <c:numCache/>
            </c:numRef>
          </c:val>
        </c:ser>
        <c:axId val="915320404"/>
        <c:axId val="203782966"/>
      </c:barChart>
      <c:catAx>
        <c:axId val="9153204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3782966"/>
      </c:catAx>
      <c:valAx>
        <c:axId val="2037829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5320404"/>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Frequency, Cumulative относительно параметра "Upper limit"</a:t>
            </a:r>
          </a:p>
        </c:rich>
      </c:tx>
      <c:overlay val="0"/>
    </c:title>
    <c:plotArea>
      <c:layout/>
      <c:lineChart>
        <c:varyColors val="0"/>
        <c:ser>
          <c:idx val="0"/>
          <c:order val="0"/>
          <c:tx>
            <c:strRef>
              <c:f>Histogram!$M$1</c:f>
            </c:strRef>
          </c:tx>
          <c:spPr>
            <a:ln cmpd="sng">
              <a:solidFill>
                <a:srgbClr val="4285F4"/>
              </a:solidFill>
            </a:ln>
          </c:spPr>
          <c:marker>
            <c:symbol val="none"/>
          </c:marker>
          <c:cat>
            <c:strRef>
              <c:f>Histogram!$L$2:$L$9</c:f>
            </c:strRef>
          </c:cat>
          <c:val>
            <c:numRef>
              <c:f>Histogram!$M$2:$M$9</c:f>
              <c:numCache/>
            </c:numRef>
          </c:val>
          <c:smooth val="0"/>
        </c:ser>
        <c:axId val="1324967199"/>
        <c:axId val="184918713"/>
      </c:lineChart>
      <c:catAx>
        <c:axId val="13249671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Upper limit</a:t>
                </a:r>
              </a:p>
            </c:rich>
          </c:tx>
          <c:overlay val="0"/>
        </c:title>
        <c:numFmt formatCode="General" sourceLinked="1"/>
        <c:majorTickMark val="none"/>
        <c:minorTickMark val="none"/>
        <c:spPr/>
        <c:txPr>
          <a:bodyPr/>
          <a:lstStyle/>
          <a:p>
            <a:pPr lvl="0">
              <a:defRPr b="0">
                <a:solidFill>
                  <a:srgbClr val="000000"/>
                </a:solidFill>
                <a:latin typeface="+mn-lt"/>
              </a:defRPr>
            </a:pPr>
          </a:p>
        </c:txPr>
        <c:crossAx val="184918713"/>
      </c:catAx>
      <c:valAx>
        <c:axId val="1849187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Frequency, Cumulative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4967199"/>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Frequency относительно параметра "Midpoint"</a:t>
            </a:r>
          </a:p>
        </c:rich>
      </c:tx>
      <c:overlay val="0"/>
    </c:title>
    <c:plotArea>
      <c:layout/>
      <c:lineChart>
        <c:varyColors val="0"/>
        <c:ser>
          <c:idx val="0"/>
          <c:order val="0"/>
          <c:tx>
            <c:strRef>
              <c:f>Histogram!$P$13</c:f>
            </c:strRef>
          </c:tx>
          <c:spPr>
            <a:ln cmpd="sng">
              <a:solidFill>
                <a:srgbClr val="4285F4"/>
              </a:solidFill>
            </a:ln>
          </c:spPr>
          <c:marker>
            <c:symbol val="none"/>
          </c:marker>
          <c:cat>
            <c:strRef>
              <c:f>Histogram!$O$14:$O$22</c:f>
            </c:strRef>
          </c:cat>
          <c:val>
            <c:numRef>
              <c:f>Histogram!$P$14:$P$22</c:f>
              <c:numCache/>
            </c:numRef>
          </c:val>
          <c:smooth val="0"/>
        </c:ser>
        <c:axId val="1212094342"/>
        <c:axId val="723433636"/>
      </c:lineChart>
      <c:catAx>
        <c:axId val="12120943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Midpoint</a:t>
                </a:r>
              </a:p>
            </c:rich>
          </c:tx>
          <c:overlay val="0"/>
        </c:title>
        <c:numFmt formatCode="General" sourceLinked="1"/>
        <c:majorTickMark val="none"/>
        <c:minorTickMark val="none"/>
        <c:spPr/>
        <c:txPr>
          <a:bodyPr/>
          <a:lstStyle/>
          <a:p>
            <a:pPr lvl="0">
              <a:defRPr b="0">
                <a:solidFill>
                  <a:srgbClr val="000000"/>
                </a:solidFill>
                <a:latin typeface="+mn-lt"/>
              </a:defRPr>
            </a:pPr>
          </a:p>
        </c:txPr>
        <c:crossAx val="723433636"/>
      </c:catAx>
      <c:valAx>
        <c:axId val="7234336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Frequency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2094342"/>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Histogram!$E$51:$E$52</c:f>
            </c:strRef>
          </c:tx>
          <c:spPr>
            <a:solidFill>
              <a:schemeClr val="accent1"/>
            </a:solidFill>
            <a:ln cmpd="sng">
              <a:solidFill>
                <a:srgbClr val="000000"/>
              </a:solidFill>
            </a:ln>
          </c:spPr>
          <c:cat>
            <c:strRef>
              <c:f>Histogram!$D$53:$D$58</c:f>
            </c:strRef>
          </c:cat>
          <c:val>
            <c:numRef>
              <c:f>Histogram!$E$53:$E$58</c:f>
              <c:numCache/>
            </c:numRef>
          </c:val>
        </c:ser>
        <c:ser>
          <c:idx val="1"/>
          <c:order val="1"/>
          <c:tx>
            <c:strRef>
              <c:f>Histogram!$F$51:$F$52</c:f>
            </c:strRef>
          </c:tx>
          <c:spPr>
            <a:solidFill>
              <a:schemeClr val="accent2"/>
            </a:solidFill>
            <a:ln cmpd="sng">
              <a:solidFill>
                <a:srgbClr val="000000"/>
              </a:solidFill>
            </a:ln>
          </c:spPr>
          <c:cat>
            <c:strRef>
              <c:f>Histogram!$D$53:$D$58</c:f>
            </c:strRef>
          </c:cat>
          <c:val>
            <c:numRef>
              <c:f>Histogram!$F$53:$F$58</c:f>
              <c:numCache/>
            </c:numRef>
          </c:val>
        </c:ser>
        <c:axId val="1831265011"/>
        <c:axId val="1299890585"/>
      </c:barChart>
      <c:catAx>
        <c:axId val="18312650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99890585"/>
      </c:catAx>
      <c:valAx>
        <c:axId val="12998905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1265011"/>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 SIngle и Price, Condo</a:t>
            </a:r>
          </a:p>
        </c:rich>
      </c:tx>
      <c:overlay val="0"/>
    </c:title>
    <c:plotArea>
      <c:layout/>
      <c:scatterChart>
        <c:scatterStyle val="lineMarker"/>
        <c:ser>
          <c:idx val="0"/>
          <c:order val="0"/>
          <c:tx>
            <c:strRef>
              <c:f>scp!$B$1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scp!$A$2:$A$41</c:f>
            </c:numRef>
          </c:xVal>
          <c:yVal>
            <c:numRef>
              <c:f>scp!$B$2:$B$41</c:f>
              <c:numCache/>
            </c:numRef>
          </c:yVal>
        </c:ser>
        <c:ser>
          <c:idx val="1"/>
          <c:order val="1"/>
          <c:tx>
            <c:strRef>
              <c:f>scp!$C$1</c:f>
            </c:strRef>
          </c:tx>
          <c:spPr>
            <a:ln>
              <a:noFill/>
            </a:ln>
          </c:spPr>
          <c:marker>
            <c:symbol val="circle"/>
            <c:size val="7"/>
            <c:spPr>
              <a:solidFill>
                <a:schemeClr val="accent2"/>
              </a:solidFill>
              <a:ln cmpd="sng">
                <a:solidFill>
                  <a:schemeClr val="accent2"/>
                </a:solidFill>
              </a:ln>
            </c:spPr>
          </c:marker>
          <c:trendline>
            <c:name/>
            <c:spPr>
              <a:ln w="19050">
                <a:solidFill>
                  <a:srgbClr val="000000"/>
                </a:solidFill>
              </a:ln>
            </c:spPr>
            <c:trendlineType val="linear"/>
            <c:dispRSqr val="0"/>
            <c:dispEq val="0"/>
          </c:trendline>
          <c:xVal>
            <c:numRef>
              <c:f>scp!$A$2:$A$41</c:f>
            </c:numRef>
          </c:xVal>
          <c:yVal>
            <c:numRef>
              <c:f>scp!$C$2:$C$41</c:f>
              <c:numCache/>
            </c:numRef>
          </c:yVal>
        </c:ser>
        <c:dLbls>
          <c:showLegendKey val="0"/>
          <c:showVal val="0"/>
          <c:showCatName val="0"/>
          <c:showSerName val="0"/>
          <c:showPercent val="0"/>
          <c:showBubbleSize val="0"/>
        </c:dLbls>
        <c:axId val="1928771447"/>
        <c:axId val="125270240"/>
      </c:scatterChart>
      <c:valAx>
        <c:axId val="192877144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Sqft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270240"/>
      </c:valAx>
      <c:valAx>
        <c:axId val="1252702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8771447"/>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из Quality Rating</a:t>
            </a:r>
          </a:p>
        </c:rich>
      </c:tx>
      <c:overlay val="0"/>
    </c:title>
    <c:plotArea>
      <c:layout/>
      <c:pieChart>
        <c:varyColors val="1"/>
        <c:ser>
          <c:idx val="0"/>
          <c:order val="0"/>
          <c:tx>
            <c:strRef>
              <c:f>contingency!$F$1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contingency!$E$2:$E$6</c:f>
            </c:strRef>
          </c:cat>
          <c:val>
            <c:numRef>
              <c:f>contingency!$F$2:$F$6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contingency!$K$1:$K$2</c:f>
            </c:strRef>
          </c:tx>
          <c:spPr>
            <a:solidFill>
              <a:schemeClr val="accent1"/>
            </a:solidFill>
            <a:ln cmpd="sng">
              <a:solidFill>
                <a:srgbClr val="000000"/>
              </a:solidFill>
            </a:ln>
          </c:spPr>
          <c:cat>
            <c:strRef>
              <c:f>contingency!$J$3:$J$7</c:f>
            </c:strRef>
          </c:cat>
          <c:val>
            <c:numRef>
              <c:f>contingency!$K$3:$K$7</c:f>
              <c:numCache/>
            </c:numRef>
          </c:val>
        </c:ser>
        <c:ser>
          <c:idx val="1"/>
          <c:order val="1"/>
          <c:tx>
            <c:strRef>
              <c:f>contingency!$L$1:$L$2</c:f>
            </c:strRef>
          </c:tx>
          <c:spPr>
            <a:solidFill>
              <a:schemeClr val="accent2"/>
            </a:solidFill>
            <a:ln cmpd="sng">
              <a:solidFill>
                <a:srgbClr val="000000"/>
              </a:solidFill>
            </a:ln>
          </c:spPr>
          <c:cat>
            <c:strRef>
              <c:f>contingency!$J$3:$J$7</c:f>
            </c:strRef>
          </c:cat>
          <c:val>
            <c:numRef>
              <c:f>contingency!$L$3:$L$7</c:f>
              <c:numCache/>
            </c:numRef>
          </c:val>
        </c:ser>
        <c:ser>
          <c:idx val="2"/>
          <c:order val="2"/>
          <c:tx>
            <c:strRef>
              <c:f>contingency!$M$1:$M$2</c:f>
            </c:strRef>
          </c:tx>
          <c:spPr>
            <a:solidFill>
              <a:schemeClr val="accent3"/>
            </a:solidFill>
            <a:ln cmpd="sng">
              <a:solidFill>
                <a:srgbClr val="000000"/>
              </a:solidFill>
            </a:ln>
          </c:spPr>
          <c:cat>
            <c:strRef>
              <c:f>contingency!$J$3:$J$7</c:f>
            </c:strRef>
          </c:cat>
          <c:val>
            <c:numRef>
              <c:f>contingency!$M$3:$M$7</c:f>
              <c:numCache/>
            </c:numRef>
          </c:val>
        </c:ser>
        <c:ser>
          <c:idx val="3"/>
          <c:order val="3"/>
          <c:tx>
            <c:strRef>
              <c:f>contingency!$N$1:$N$2</c:f>
            </c:strRef>
          </c:tx>
          <c:spPr>
            <a:solidFill>
              <a:schemeClr val="accent4"/>
            </a:solidFill>
            <a:ln cmpd="sng">
              <a:solidFill>
                <a:srgbClr val="000000"/>
              </a:solidFill>
            </a:ln>
          </c:spPr>
          <c:cat>
            <c:strRef>
              <c:f>contingency!$J$3:$J$7</c:f>
            </c:strRef>
          </c:cat>
          <c:val>
            <c:numRef>
              <c:f>contingency!$N$3:$N$7</c:f>
              <c:numCache/>
            </c:numRef>
          </c:val>
        </c:ser>
        <c:ser>
          <c:idx val="4"/>
          <c:order val="4"/>
          <c:tx>
            <c:strRef>
              <c:f>contingency!$O$1:$O$2</c:f>
            </c:strRef>
          </c:tx>
          <c:spPr>
            <a:solidFill>
              <a:schemeClr val="accent5"/>
            </a:solidFill>
            <a:ln cmpd="sng">
              <a:solidFill>
                <a:srgbClr val="000000"/>
              </a:solidFill>
            </a:ln>
          </c:spPr>
          <c:cat>
            <c:strRef>
              <c:f>contingency!$J$3:$J$7</c:f>
            </c:strRef>
          </c:cat>
          <c:val>
            <c:numRef>
              <c:f>contingency!$O$3:$O$7</c:f>
              <c:numCache/>
            </c:numRef>
          </c:val>
        </c:ser>
        <c:overlap val="100"/>
        <c:axId val="2000183811"/>
        <c:axId val="992837340"/>
      </c:barChart>
      <c:catAx>
        <c:axId val="20001838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92837340"/>
      </c:catAx>
      <c:valAx>
        <c:axId val="9928373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018381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 Id="rId6"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295275</xdr:colOff>
      <xdr:row>16</xdr:row>
      <xdr:rowOff>114300</xdr:rowOff>
    </xdr:from>
    <xdr:ext cx="5715000" cy="353377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581025</xdr:colOff>
      <xdr:row>18</xdr:row>
      <xdr:rowOff>95250</xdr:rowOff>
    </xdr:from>
    <xdr:ext cx="5715000" cy="3533775"/>
    <xdr:graphicFrame>
      <xdr:nvGraphicFramePr>
        <xdr:cNvPr id="2" name="Chart 2"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714375</xdr:colOff>
      <xdr:row>0</xdr:row>
      <xdr:rowOff>219075</xdr:rowOff>
    </xdr:from>
    <xdr:ext cx="5715000" cy="3533775"/>
    <xdr:graphicFrame>
      <xdr:nvGraphicFramePr>
        <xdr:cNvPr id="3" name="Chart 3"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342900</xdr:colOff>
      <xdr:row>20</xdr:row>
      <xdr:rowOff>523875</xdr:rowOff>
    </xdr:from>
    <xdr:ext cx="5715000" cy="3533775"/>
    <xdr:graphicFrame>
      <xdr:nvGraphicFramePr>
        <xdr:cNvPr id="4" name="Chart 4"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56</xdr:row>
      <xdr:rowOff>123825</xdr:rowOff>
    </xdr:from>
    <xdr:ext cx="3095625" cy="1914525"/>
    <xdr:graphicFrame>
      <xdr:nvGraphicFramePr>
        <xdr:cNvPr id="5" name="Chart 5"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76200</xdr:colOff>
      <xdr:row>56</xdr:row>
      <xdr:rowOff>95250</xdr:rowOff>
    </xdr:from>
    <xdr:ext cx="3190875" cy="1971675"/>
    <xdr:graphicFrame>
      <xdr:nvGraphicFramePr>
        <xdr:cNvPr id="6" name="Chart 6"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209550</xdr:colOff>
      <xdr:row>56</xdr:row>
      <xdr:rowOff>66675</xdr:rowOff>
    </xdr:from>
    <xdr:ext cx="3305175" cy="2038350"/>
    <xdr:graphicFrame>
      <xdr:nvGraphicFramePr>
        <xdr:cNvPr id="7" name="Chart 7"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323850</xdr:colOff>
      <xdr:row>67</xdr:row>
      <xdr:rowOff>57150</xdr:rowOff>
    </xdr:from>
    <xdr:ext cx="2762250" cy="1704975"/>
    <xdr:graphicFrame>
      <xdr:nvGraphicFramePr>
        <xdr:cNvPr id="8" name="Chart 8" title="Диаграмма"/>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895350</xdr:colOff>
      <xdr:row>68</xdr:row>
      <xdr:rowOff>19050</xdr:rowOff>
    </xdr:from>
    <xdr:ext cx="2219325" cy="1371600"/>
    <xdr:graphicFrame>
      <xdr:nvGraphicFramePr>
        <xdr:cNvPr id="9" name="Chart 9" title="Диаграмма"/>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8</xdr:col>
      <xdr:colOff>257175</xdr:colOff>
      <xdr:row>67</xdr:row>
      <xdr:rowOff>9525</xdr:rowOff>
    </xdr:from>
    <xdr:ext cx="3095625" cy="1914525"/>
    <xdr:graphicFrame>
      <xdr:nvGraphicFramePr>
        <xdr:cNvPr id="10" name="Chart 10" title="Диаграмма"/>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409575</xdr:colOff>
      <xdr:row>8</xdr:row>
      <xdr:rowOff>85725</xdr:rowOff>
    </xdr:from>
    <xdr:ext cx="3400425" cy="2095500"/>
    <xdr:graphicFrame>
      <xdr:nvGraphicFramePr>
        <xdr:cNvPr id="11" name="Chart 1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619125</xdr:colOff>
      <xdr:row>0</xdr:row>
      <xdr:rowOff>133350</xdr:rowOff>
    </xdr:from>
    <xdr:ext cx="3238500" cy="2000250"/>
    <xdr:graphicFrame>
      <xdr:nvGraphicFramePr>
        <xdr:cNvPr id="12" name="Chart 12"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742950</xdr:colOff>
      <xdr:row>22</xdr:row>
      <xdr:rowOff>95250</xdr:rowOff>
    </xdr:from>
    <xdr:ext cx="3200400" cy="2000250"/>
    <xdr:graphicFrame>
      <xdr:nvGraphicFramePr>
        <xdr:cNvPr id="13" name="Chart 13"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180975</xdr:colOff>
      <xdr:row>59</xdr:row>
      <xdr:rowOff>95250</xdr:rowOff>
    </xdr:from>
    <xdr:ext cx="2447925" cy="1514475"/>
    <xdr:graphicFrame>
      <xdr:nvGraphicFramePr>
        <xdr:cNvPr id="14" name="Chart 14" title="Диаграмма"/>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0</xdr:row>
      <xdr:rowOff>0</xdr:rowOff>
    </xdr:from>
    <xdr:ext cx="5715000" cy="3533775"/>
    <xdr:graphicFrame>
      <xdr:nvGraphicFramePr>
        <xdr:cNvPr id="15" name="Chart 15"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8</xdr:row>
      <xdr:rowOff>85725</xdr:rowOff>
    </xdr:from>
    <xdr:ext cx="3028950" cy="1866900"/>
    <xdr:graphicFrame>
      <xdr:nvGraphicFramePr>
        <xdr:cNvPr id="16" name="Chart 16"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942975</xdr:colOff>
      <xdr:row>8</xdr:row>
      <xdr:rowOff>161925</xdr:rowOff>
    </xdr:from>
    <xdr:ext cx="3790950" cy="2343150"/>
    <xdr:graphicFrame>
      <xdr:nvGraphicFramePr>
        <xdr:cNvPr id="17" name="Chart 17"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B1000" sheet="Histogram"/>
  </cacheSource>
  <cacheFields>
    <cacheField name="Price">
      <sharedItems containsBlank="1" containsMixedTypes="1" containsNumber="1" containsInteger="1">
        <n v="156.0"/>
        <n v="145.0"/>
        <n v="187.0"/>
        <n v="135.0"/>
        <n v="151.0"/>
        <n v="136.0"/>
        <n v="141.0"/>
        <n v="167.0"/>
        <n v="221.0"/>
        <n v="276.0"/>
        <n v="209.0"/>
        <n v="297.0"/>
        <n v="300.0"/>
        <n v="232.0"/>
        <n v="246.0"/>
        <n v="296.0"/>
        <n v="240.0"/>
        <n v="252.0"/>
        <n v="248.0"/>
        <n v="226.0"/>
        <n v="251.0"/>
        <n v="227.0"/>
        <n v="277.0"/>
        <n v="220.0"/>
        <n v="341.0"/>
        <n v="388.0"/>
        <n v="391.0"/>
        <n v="336.0"/>
        <n v="378.0"/>
        <n v="347.0"/>
        <n v="303.0"/>
        <n v="448.0"/>
        <n v="431.0"/>
        <n v="483.0"/>
        <n v="419.0"/>
        <n v="487.0"/>
        <n v="594.0"/>
        <n v="532.0"/>
        <n v="517.0"/>
        <n v="628.0"/>
        <m/>
        <s v="TABLE 2.4  waiting time in minutes"/>
        <n v="12.0"/>
        <n v="15.0"/>
        <n v="20.0"/>
        <n v="22.0"/>
        <n v="14.0"/>
        <n v="27.0"/>
        <n v="21.0"/>
        <n v="18.0"/>
        <n v="19.0"/>
        <n v="33.0"/>
        <n v="16.0"/>
        <n v="17.0"/>
        <n v="23.0"/>
        <n v="28.0"/>
        <n v="13.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6:B66" sheet="Histogram"/>
  </cacheSource>
  <cacheFields>
    <cacheField name="ID" numFmtId="0">
      <sharedItems>
        <s v="001"/>
        <s v="002"/>
        <s v="003"/>
        <s v="004"/>
        <s v="005"/>
        <s v="006"/>
        <s v="007"/>
        <s v="008"/>
        <s v="009"/>
        <s v="010"/>
        <s v="011"/>
        <s v="012"/>
        <s v="013"/>
        <s v="014"/>
        <s v="015"/>
        <s v="016"/>
        <s v="017"/>
        <s v="018"/>
        <s v="019"/>
        <s v="020"/>
      </sharedItems>
    </cacheField>
    <cacheField name="TABLE 2.4  waiting time in minutes" numFmtId="4">
      <sharedItems containsSemiMixedTypes="0" containsString="0" containsNumber="1" containsInteger="1">
        <n v="12.0"/>
        <n v="15.0"/>
        <n v="20.0"/>
        <n v="22.0"/>
        <n v="14.0"/>
        <n v="27.0"/>
        <n v="21.0"/>
        <n v="18.0"/>
        <n v="19.0"/>
        <n v="33.0"/>
        <n v="16.0"/>
        <n v="17.0"/>
        <n v="23.0"/>
        <n v="28.0"/>
        <n v="13.0"/>
      </sharedItems>
      <fieldGroup base="1">
        <rangePr autoStart="0" autoEnd="0" startNum="10.0" endNum="35.0" groupInterval="5.0"/>
        <groupItems>
          <s v="&lt;10.0"/>
          <s v="10.00 - 14.00"/>
          <s v="15.00 - 19.00"/>
          <s v="20.00 - 24.00"/>
          <s v="25.00 - 29.00"/>
          <s v="30.00 - 35.00"/>
          <s v="&gt;35.0"/>
        </groupItems>
      </fieldGroup>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1000" sheet="contingency"/>
  </cacheSource>
  <cacheFields>
    <cacheField name="Restaurant" numFmtId="0">
      <sharedItems containsBlank="1">
        <s v="Restaurant B"/>
        <s v="Restaurant C"/>
        <s v="Restaurant A"/>
        <s v="Restaurant E"/>
        <s v="Restaurant D"/>
        <m/>
      </sharedItems>
    </cacheField>
    <cacheField name="Quality Rating" numFmtId="0">
      <sharedItems containsBlank="1">
        <s v="neutral"/>
        <s v="excellent"/>
        <s v="bad"/>
        <s v="good"/>
        <s v="very bad"/>
        <m/>
      </sharedItems>
    </cacheField>
    <cacheField name="Meal Price (KZT)" numFmtId="4">
      <sharedItems containsString="0" containsBlank="1" containsNumber="1" containsInteger="1">
        <n v="14500.0"/>
        <n v="6700.0"/>
        <n v="8200.0"/>
        <n v="11000.0"/>
        <n v="3000.0"/>
        <n v="15500.0"/>
        <n v="7800.0"/>
        <n v="12000.0"/>
        <n v="8900.0"/>
        <n v="5600.0"/>
        <n v="17000.0"/>
        <n v="13500.0"/>
        <n v="4200.0"/>
        <n v="3700.0"/>
        <n v="15000.0"/>
        <n v="2700.0"/>
        <n v="14200.0"/>
        <n v="10300.0"/>
        <n v="3500.0"/>
        <n v="16000.0"/>
        <n v="5200.0"/>
        <n v="4800.0"/>
        <n v="7600.0"/>
        <n v="2950.0"/>
        <n v="12500.0"/>
        <n v="8600.0"/>
        <n v="10700.0"/>
        <n v="13000.0"/>
        <n v="2500.0"/>
        <n v="6300.0"/>
        <n v="9500.0"/>
        <n v="14900.0"/>
        <n v="4100.0"/>
        <n v="3400.0"/>
        <n v="9800.0"/>
        <n v="13200.0"/>
        <n v="5800.0"/>
        <n v="14700.0"/>
        <n v="11800.0"/>
        <n v="10400.0"/>
        <n v="2750.0"/>
        <n v="3300.0"/>
        <n v="13800.0"/>
        <n v="2600.0"/>
        <n v="2800.0"/>
        <n v="16200.0"/>
        <n v="5900.0"/>
        <n v="9200.0"/>
        <n v="18000.0"/>
        <n v="7400.0"/>
        <n v="11200.0"/>
        <n v="6600.0"/>
        <n v="10000.0"/>
        <n v="10600.0"/>
        <n v="17500.0"/>
        <n v="12700.0"/>
        <n v="14800.0"/>
        <n v="4400.0"/>
        <n v="16300.0"/>
        <n v="10900.0"/>
        <n v="6800.0"/>
        <n v="3200.0"/>
        <n v="9100.0"/>
        <n v="15200.0"/>
        <n v="4500.0"/>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1000" sheet="contingency"/>
  </cacheSource>
  <cacheFields>
    <cacheField name="Restaurant" numFmtId="0">
      <sharedItems containsBlank="1">
        <s v="Restaurant B"/>
        <s v="Restaurant C"/>
        <s v="Restaurant A"/>
        <s v="Restaurant E"/>
        <s v="Restaurant D"/>
        <m/>
      </sharedItems>
    </cacheField>
    <cacheField name="Quality Rating" numFmtId="0">
      <sharedItems containsBlank="1">
        <s v="neutral"/>
        <s v="excellent"/>
        <s v="bad"/>
        <s v="good"/>
        <s v="very bad"/>
        <m/>
      </sharedItems>
    </cacheField>
    <cacheField name="Meal Price (KZT)" numFmtId="4">
      <sharedItems containsString="0" containsBlank="1" containsNumber="1" containsInteger="1">
        <n v="14500.0"/>
        <n v="6700.0"/>
        <n v="8200.0"/>
        <n v="11000.0"/>
        <n v="3000.0"/>
        <n v="15500.0"/>
        <n v="7800.0"/>
        <n v="12000.0"/>
        <n v="8900.0"/>
        <n v="5600.0"/>
        <n v="17000.0"/>
        <n v="13500.0"/>
        <n v="4200.0"/>
        <n v="3700.0"/>
        <n v="15000.0"/>
        <n v="2700.0"/>
        <n v="14200.0"/>
        <n v="10300.0"/>
        <n v="3500.0"/>
        <n v="16000.0"/>
        <n v="5200.0"/>
        <n v="4800.0"/>
        <n v="7600.0"/>
        <n v="2950.0"/>
        <n v="12500.0"/>
        <n v="8600.0"/>
        <n v="10700.0"/>
        <n v="13000.0"/>
        <n v="2500.0"/>
        <n v="6300.0"/>
        <n v="9500.0"/>
        <n v="14900.0"/>
        <n v="4100.0"/>
        <n v="3400.0"/>
        <n v="9800.0"/>
        <n v="13200.0"/>
        <n v="5800.0"/>
        <n v="14700.0"/>
        <n v="11800.0"/>
        <n v="10400.0"/>
        <n v="2750.0"/>
        <n v="3300.0"/>
        <n v="13800.0"/>
        <n v="2600.0"/>
        <n v="2800.0"/>
        <n v="16200.0"/>
        <n v="5900.0"/>
        <n v="9200.0"/>
        <n v="18000.0"/>
        <n v="7400.0"/>
        <n v="11200.0"/>
        <n v="6600.0"/>
        <n v="10000.0"/>
        <n v="10600.0"/>
        <n v="17500.0"/>
        <n v="12700.0"/>
        <n v="14800.0"/>
        <n v="4400.0"/>
        <n v="16300.0"/>
        <n v="10900.0"/>
        <n v="6800.0"/>
        <n v="3200.0"/>
        <n v="9100.0"/>
        <n v="15200.0"/>
        <n v="4500.0"/>
        <m/>
      </sharedItems>
      <fieldGroup base="2">
        <rangePr autoStart="0" autoEnd="0" endNum="20000.0" groupInterval="5000.0"/>
        <groupItems>
          <s v="&lt;0.0"/>
          <s v="0.00 - 4,999.00"/>
          <s v="5,000.00 - 9,999.00"/>
          <s v="10,000.00 - 14,999.00"/>
          <s v="15,000.00 - 20,000.00"/>
          <s v=""/>
          <s v="&gt;20000.0"/>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Histogram" cacheId="0" dataCaption="" compact="0" compactData="0">
  <location ref="D2:F9" firstHeaderRow="0" firstDataRow="2" firstDataCol="0"/>
  <pivotFields>
    <pivotField name="Price" axis="axisRow" dataField="1" compact="0" outline="0" multipleItemSelectionAllowed="1" showAll="0" sortType="ascending">
      <items>
        <item h="1" x="40"/>
        <item h="1" x="42"/>
        <item h="1" x="56"/>
        <item h="1" x="46"/>
        <item h="1" x="43"/>
        <item h="1" x="52"/>
        <item h="1" x="53"/>
        <item h="1" x="49"/>
        <item h="1" x="50"/>
        <item h="1" x="44"/>
        <item h="1" x="48"/>
        <item h="1" x="45"/>
        <item h="1" x="54"/>
        <item h="1" x="47"/>
        <item h="1" x="55"/>
        <item h="1" x="51"/>
        <item x="3"/>
        <item x="5"/>
        <item x="6"/>
        <item x="1"/>
        <item x="4"/>
        <item x="0"/>
        <item x="7"/>
        <item x="2"/>
        <item x="10"/>
        <item x="23"/>
        <item x="8"/>
        <item x="19"/>
        <item x="21"/>
        <item x="13"/>
        <item x="16"/>
        <item x="14"/>
        <item x="18"/>
        <item x="20"/>
        <item x="17"/>
        <item x="9"/>
        <item x="22"/>
        <item x="15"/>
        <item x="11"/>
        <item x="12"/>
        <item x="30"/>
        <item x="27"/>
        <item x="24"/>
        <item x="29"/>
        <item x="28"/>
        <item x="25"/>
        <item x="26"/>
        <item x="34"/>
        <item x="32"/>
        <item x="31"/>
        <item x="33"/>
        <item x="35"/>
        <item x="38"/>
        <item x="37"/>
        <item x="36"/>
        <item x="39"/>
        <item h="1" x="41"/>
        <item t="default"/>
      </items>
    </pivotField>
  </pivotFields>
  <rowFields>
    <field x="0"/>
  </rowFields>
  <colFields>
    <field x="-2"/>
  </colFields>
  <dataFields>
    <dataField name="COUNTA of Price" fld="0" subtotal="count" baseField="0"/>
    <dataField name="COUNTA of Price" fld="0" subtotal="count" showDataAs="percentOfCol" baseField="0" numFmtId="10"/>
  </dataFields>
</pivotTableDefinition>
</file>

<file path=xl/pivotTables/pivotTable2.xml><?xml version="1.0" encoding="utf-8"?>
<pivotTableDefinition xmlns="http://schemas.openxmlformats.org/spreadsheetml/2006/main" name="Histogram 2" cacheId="1" dataCaption="" compact="0" compactData="0">
  <location ref="D52:F58" firstHeaderRow="0" firstDataRow="2"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ABLE 2.4  waiting time in minutes" axis="axisRow" dataField="1" compact="0" numFmtId="4" outline="0" multipleItemSelectionAllowed="1" showAll="0" sortType="ascending">
      <items>
        <item x="0"/>
        <item x="1"/>
        <item x="2"/>
        <item x="3"/>
        <item x="4"/>
        <item x="5"/>
        <item x="6"/>
        <item t="default"/>
      </items>
    </pivotField>
  </pivotFields>
  <rowFields>
    <field x="1"/>
  </rowFields>
  <colFields>
    <field x="-2"/>
  </colFields>
  <dataFields>
    <dataField name="COUNTA of TABLE 2.4  waiting time in minutes" fld="1" subtotal="count" baseField="0"/>
    <dataField name="COUNTA of TABLE 2.4  waiting time in minutes" fld="1" subtotal="count" showDataAs="percentOfTotal" baseField="0" numFmtId="10"/>
  </dataFields>
</pivotTableDefinition>
</file>

<file path=xl/pivotTables/pivotTable3.xml><?xml version="1.0" encoding="utf-8"?>
<pivotTableDefinition xmlns="http://schemas.openxmlformats.org/spreadsheetml/2006/main" name="contingency" cacheId="2" dataCaption="" compact="0" compactData="0">
  <location ref="E1:G7" firstHeaderRow="0" firstDataRow="2" firstDataCol="0"/>
  <pivotFields>
    <pivotField name="Restaurant" compact="0" outline="0" multipleItemSelectionAllowed="1" showAll="0">
      <items>
        <item x="0"/>
        <item x="1"/>
        <item x="2"/>
        <item x="3"/>
        <item x="4"/>
        <item x="5"/>
        <item t="default"/>
      </items>
    </pivotField>
    <pivotField name="Quality Rating" axis="axisRow" dataField="1" compact="0" outline="0" multipleItemSelectionAllowed="1" showAll="0" sortType="ascending">
      <items>
        <item h="1" x="5"/>
        <item x="2"/>
        <item x="1"/>
        <item x="3"/>
        <item x="0"/>
        <item x="4"/>
        <item t="default"/>
      </items>
    </pivotField>
    <pivotField name="Meal Price (KZ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s>
  <rowFields>
    <field x="1"/>
  </rowFields>
  <colFields>
    <field x="-2"/>
  </colFields>
  <dataFields>
    <dataField name="COUNTA of Quality Rating" fld="1" subtotal="count" baseField="0"/>
    <dataField name="AVERAGE of Meal Price (KZT)" fld="2" subtotal="average" baseField="0"/>
  </dataFields>
</pivotTableDefinition>
</file>

<file path=xl/pivotTables/pivotTable4.xml><?xml version="1.0" encoding="utf-8"?>
<pivotTableDefinition xmlns="http://schemas.openxmlformats.org/spreadsheetml/2006/main" name="contingency 2" cacheId="3" dataCaption="" compact="0" compactData="0">
  <location ref="J1:O8" firstHeaderRow="0" firstDataRow="1" firstDataCol="1"/>
  <pivotFields>
    <pivotField name="Restaurant" compact="0" outline="0" multipleItemSelectionAllowed="1" showAll="0">
      <items>
        <item x="0"/>
        <item x="1"/>
        <item x="2"/>
        <item x="3"/>
        <item x="4"/>
        <item x="5"/>
        <item t="default"/>
      </items>
    </pivotField>
    <pivotField name="Quality Rating" axis="axisRow" dataField="1" compact="0" outline="0" multipleItemSelectionAllowed="1" showAll="0" sortType="ascending">
      <items>
        <item h="1" x="5"/>
        <item x="2"/>
        <item x="1"/>
        <item x="3"/>
        <item x="0"/>
        <item x="4"/>
        <item t="default"/>
      </items>
    </pivotField>
    <pivotField name="Meal Price (KZT)" axis="axisCol" compact="0" numFmtId="4" outline="0" multipleItemSelectionAllowed="1" showAll="0" sortType="ascending">
      <items>
        <item x="0"/>
        <item x="1"/>
        <item x="2"/>
        <item x="3"/>
        <item x="4"/>
        <item x="5"/>
        <item x="6"/>
        <item t="default"/>
      </items>
    </pivotField>
  </pivotFields>
  <rowFields>
    <field x="1"/>
  </rowFields>
  <colFields>
    <field x="2"/>
  </colFields>
  <dataFields>
    <dataField name="COUNTA of Quality Rating"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2" t="s">
        <v>0</v>
      </c>
      <c r="G1" s="3"/>
      <c r="H1" s="3"/>
      <c r="I1" s="1"/>
      <c r="J1" s="1"/>
      <c r="K1" s="1"/>
      <c r="L1" s="1"/>
      <c r="M1" s="1"/>
      <c r="N1" s="1"/>
      <c r="O1" s="1"/>
      <c r="P1" s="1"/>
      <c r="Q1" s="1"/>
      <c r="R1" s="1"/>
    </row>
    <row r="2">
      <c r="A2" s="4" t="s">
        <v>1</v>
      </c>
      <c r="B2" s="4" t="s">
        <v>2</v>
      </c>
      <c r="C2" s="4" t="s">
        <v>3</v>
      </c>
      <c r="D2" s="4" t="s">
        <v>4</v>
      </c>
      <c r="E2" s="4" t="s">
        <v>5</v>
      </c>
      <c r="F2" s="5" t="s">
        <v>2</v>
      </c>
      <c r="G2" s="4" t="s">
        <v>3</v>
      </c>
      <c r="H2" s="4" t="s">
        <v>4</v>
      </c>
      <c r="I2" s="4" t="s">
        <v>5</v>
      </c>
      <c r="J2" s="6" t="s">
        <v>6</v>
      </c>
      <c r="K2" s="6" t="s">
        <v>7</v>
      </c>
      <c r="L2" s="6" t="s">
        <v>8</v>
      </c>
      <c r="M2" s="6" t="s">
        <v>9</v>
      </c>
      <c r="N2" s="6" t="s">
        <v>10</v>
      </c>
      <c r="O2" s="1"/>
      <c r="P2" s="7"/>
      <c r="Q2" s="1"/>
      <c r="R2" s="1"/>
    </row>
    <row r="3">
      <c r="A3" s="8">
        <v>1.0</v>
      </c>
      <c r="B3" s="9">
        <v>3180.0</v>
      </c>
      <c r="C3" s="9">
        <v>17503.0</v>
      </c>
      <c r="D3" s="9">
        <v>1.28952505E8</v>
      </c>
      <c r="E3" s="9">
        <v>6.2160175E7</v>
      </c>
      <c r="F3" s="10">
        <f t="shared" ref="F3:I3" si="1">B3/B$13</f>
        <v>0.1000094349</v>
      </c>
      <c r="G3" s="11">
        <f t="shared" si="1"/>
        <v>0.2857166177</v>
      </c>
      <c r="H3" s="11">
        <f t="shared" si="1"/>
        <v>0.3960449742</v>
      </c>
      <c r="I3" s="11">
        <f t="shared" si="1"/>
        <v>0.3984214517</v>
      </c>
      <c r="J3" s="12">
        <f t="shared" ref="J3:J12" si="3">D3/B3</f>
        <v>40551.1022</v>
      </c>
      <c r="K3" s="12">
        <f>E3/B3</f>
        <v>19547.22484</v>
      </c>
      <c r="L3" s="13">
        <f t="shared" ref="L3:L4" si="4">C3/B3</f>
        <v>5.50408805</v>
      </c>
      <c r="M3" s="14">
        <v>7367.45157972919</v>
      </c>
      <c r="N3" s="15">
        <v>0.48203929811212276</v>
      </c>
      <c r="O3" s="1"/>
      <c r="P3" s="1"/>
      <c r="Q3" s="1"/>
      <c r="R3" s="1"/>
    </row>
    <row r="4">
      <c r="A4" s="16">
        <v>2.0</v>
      </c>
      <c r="B4" s="17">
        <v>3180.0</v>
      </c>
      <c r="C4" s="17">
        <v>8703.0</v>
      </c>
      <c r="D4" s="17">
        <v>5.5542905E7</v>
      </c>
      <c r="E4" s="17">
        <v>2.707903E7</v>
      </c>
      <c r="F4" s="10">
        <f t="shared" ref="F4:I4" si="2">B4/B$13</f>
        <v>0.1000094349</v>
      </c>
      <c r="G4" s="11">
        <f t="shared" si="2"/>
        <v>0.1420666014</v>
      </c>
      <c r="H4" s="11">
        <f t="shared" si="2"/>
        <v>0.1705859718</v>
      </c>
      <c r="I4" s="11">
        <f t="shared" si="2"/>
        <v>0.1735655738</v>
      </c>
      <c r="J4" s="12">
        <f t="shared" si="3"/>
        <v>17466.32233</v>
      </c>
      <c r="K4" s="12">
        <v>8515.41823899371</v>
      </c>
      <c r="L4" s="13">
        <f t="shared" si="4"/>
        <v>2.736792453</v>
      </c>
      <c r="M4" s="14">
        <v>6382.0412501436285</v>
      </c>
      <c r="N4" s="15">
        <v>0.48753355626609735</v>
      </c>
      <c r="O4" s="1"/>
      <c r="P4" s="1"/>
      <c r="Q4" s="1"/>
      <c r="R4" s="1"/>
    </row>
    <row r="5">
      <c r="A5" s="8">
        <v>3.0</v>
      </c>
      <c r="B5" s="9">
        <v>3177.0</v>
      </c>
      <c r="C5" s="9">
        <v>6345.0</v>
      </c>
      <c r="D5" s="9">
        <v>3.8274225E7</v>
      </c>
      <c r="E5" s="9">
        <v>1.8722055E7</v>
      </c>
      <c r="F5" s="10">
        <f t="shared" ref="F5:I5" si="5">B5/B$13</f>
        <v>0.09991508633</v>
      </c>
      <c r="G5" s="11">
        <f t="shared" si="5"/>
        <v>0.1035749265</v>
      </c>
      <c r="H5" s="11">
        <f t="shared" si="5"/>
        <v>0.1175495928</v>
      </c>
      <c r="I5" s="11">
        <f t="shared" si="5"/>
        <v>0.1200007615</v>
      </c>
      <c r="J5" s="12">
        <f t="shared" si="3"/>
        <v>12047.28517</v>
      </c>
      <c r="K5" s="12">
        <v>5892.9981114258735</v>
      </c>
      <c r="L5" s="13">
        <v>1.9971671388101984</v>
      </c>
      <c r="M5" s="14">
        <v>6032.1867612293145</v>
      </c>
      <c r="N5" s="15">
        <v>0.4891556915914039</v>
      </c>
      <c r="O5" s="1"/>
      <c r="P5" s="1"/>
      <c r="Q5" s="1"/>
      <c r="R5" s="1"/>
    </row>
    <row r="6">
      <c r="A6" s="8">
        <v>4.0</v>
      </c>
      <c r="B6" s="9">
        <v>3178.0</v>
      </c>
      <c r="C6" s="9">
        <v>5349.0</v>
      </c>
      <c r="D6" s="9">
        <v>2.901701E7</v>
      </c>
      <c r="E6" s="9">
        <v>1.3916595E7</v>
      </c>
      <c r="F6" s="10">
        <f t="shared" ref="F6:I6" si="6">B6/B$13</f>
        <v>0.09994653584</v>
      </c>
      <c r="G6" s="11">
        <f t="shared" si="6"/>
        <v>0.08731635651</v>
      </c>
      <c r="H6" s="11">
        <f t="shared" si="6"/>
        <v>0.08911840044</v>
      </c>
      <c r="I6" s="11">
        <f t="shared" si="6"/>
        <v>0.08919971643</v>
      </c>
      <c r="J6" s="12">
        <f t="shared" si="3"/>
        <v>9130.58842</v>
      </c>
      <c r="K6" s="12">
        <v>4379.041850220265</v>
      </c>
      <c r="L6" s="13">
        <v>1.6831340465701699</v>
      </c>
      <c r="M6" s="14">
        <v>5424.75415965601</v>
      </c>
      <c r="N6" s="15">
        <v>0.47960127525199875</v>
      </c>
      <c r="O6" s="1"/>
      <c r="P6" s="1"/>
      <c r="Q6" s="1"/>
      <c r="R6" s="1"/>
    </row>
    <row r="7">
      <c r="A7" s="8">
        <v>5.0</v>
      </c>
      <c r="B7" s="9">
        <v>3183.0</v>
      </c>
      <c r="C7" s="9">
        <v>4683.0</v>
      </c>
      <c r="D7" s="9">
        <v>2.2555225E7</v>
      </c>
      <c r="E7" s="9">
        <v>1.0734405E7</v>
      </c>
      <c r="F7" s="10">
        <f t="shared" ref="F7:I7" si="7">B7/B$13</f>
        <v>0.1001037834</v>
      </c>
      <c r="G7" s="11">
        <f t="shared" si="7"/>
        <v>0.0764446621</v>
      </c>
      <c r="H7" s="11">
        <f t="shared" si="7"/>
        <v>0.06927266364</v>
      </c>
      <c r="I7" s="11">
        <f t="shared" si="7"/>
        <v>0.06880317218</v>
      </c>
      <c r="J7" s="12">
        <f t="shared" si="3"/>
        <v>7086.153</v>
      </c>
      <c r="K7" s="12">
        <v>3372.4175306314796</v>
      </c>
      <c r="L7" s="13">
        <v>1.471253534401508</v>
      </c>
      <c r="M7" s="14">
        <v>4816.405082212257</v>
      </c>
      <c r="N7" s="15">
        <v>0.4759165559199698</v>
      </c>
      <c r="O7" s="1"/>
      <c r="P7" s="1"/>
      <c r="Q7" s="1"/>
      <c r="R7" s="1"/>
    </row>
    <row r="8">
      <c r="A8" s="8">
        <v>6.0</v>
      </c>
      <c r="B8" s="9">
        <v>3124.0</v>
      </c>
      <c r="C8" s="9">
        <v>4330.0</v>
      </c>
      <c r="D8" s="9">
        <v>1.7169955E7</v>
      </c>
      <c r="E8" s="9">
        <v>7948270.0</v>
      </c>
      <c r="F8" s="10">
        <f t="shared" ref="F8:I8" si="8">B8/B$13</f>
        <v>0.09824826241</v>
      </c>
      <c r="G8" s="11">
        <f t="shared" si="8"/>
        <v>0.07068233758</v>
      </c>
      <c r="H8" s="11">
        <f t="shared" si="8"/>
        <v>0.05273317014</v>
      </c>
      <c r="I8" s="11">
        <f t="shared" si="8"/>
        <v>0.05094517948</v>
      </c>
      <c r="J8" s="18">
        <f t="shared" si="3"/>
        <v>5496.144366</v>
      </c>
      <c r="K8" s="18">
        <v>2544.260563380282</v>
      </c>
      <c r="L8" s="19">
        <v>1.3860435339308579</v>
      </c>
      <c r="M8" s="20">
        <v>3965.347575057737</v>
      </c>
      <c r="N8" s="21">
        <v>0.46291734602682416</v>
      </c>
      <c r="O8" s="1"/>
      <c r="P8" s="1"/>
      <c r="Q8" s="1"/>
      <c r="R8" s="1"/>
    </row>
    <row r="9">
      <c r="A9" s="8">
        <v>7.0</v>
      </c>
      <c r="B9" s="9">
        <v>3233.0</v>
      </c>
      <c r="C9" s="9">
        <v>4004.0</v>
      </c>
      <c r="D9" s="9">
        <v>1.347071E7</v>
      </c>
      <c r="E9" s="9">
        <v>6240025.0</v>
      </c>
      <c r="F9" s="10">
        <f t="shared" ref="F9:I9" si="9">B9/B$13</f>
        <v>0.1016762588</v>
      </c>
      <c r="G9" s="11">
        <f t="shared" si="9"/>
        <v>0.06536075743</v>
      </c>
      <c r="H9" s="11">
        <f t="shared" si="9"/>
        <v>0.0413718756</v>
      </c>
      <c r="I9" s="11">
        <f t="shared" si="9"/>
        <v>0.03999602349</v>
      </c>
      <c r="J9" s="18">
        <f t="shared" si="3"/>
        <v>4166.628518</v>
      </c>
      <c r="K9" s="18">
        <v>1930.1036189297865</v>
      </c>
      <c r="L9" s="19">
        <v>1.238478193628209</v>
      </c>
      <c r="M9" s="20">
        <v>3364.313186813187</v>
      </c>
      <c r="N9" s="21">
        <v>0.4632291096757335</v>
      </c>
      <c r="O9" s="1"/>
      <c r="P9" s="1"/>
      <c r="Q9" s="1"/>
      <c r="R9" s="1"/>
    </row>
    <row r="10">
      <c r="A10" s="8">
        <v>8.0</v>
      </c>
      <c r="B10" s="9">
        <v>2996.0</v>
      </c>
      <c r="C10" s="9">
        <v>3414.0</v>
      </c>
      <c r="D10" s="9">
        <v>9381075.0</v>
      </c>
      <c r="E10" s="9">
        <v>4326685.0</v>
      </c>
      <c r="F10" s="10">
        <f t="shared" ref="F10:I10" si="10">B10/B$13</f>
        <v>0.09422272541</v>
      </c>
      <c r="G10" s="11">
        <f t="shared" si="10"/>
        <v>0.05572967679</v>
      </c>
      <c r="H10" s="11">
        <f t="shared" si="10"/>
        <v>0.028811597</v>
      </c>
      <c r="I10" s="11">
        <f t="shared" si="10"/>
        <v>0.02773229192</v>
      </c>
      <c r="J10" s="18">
        <f t="shared" si="3"/>
        <v>3131.199933</v>
      </c>
      <c r="K10" s="18">
        <v>1444.1538718291056</v>
      </c>
      <c r="L10" s="19">
        <v>1.1395193591455273</v>
      </c>
      <c r="M10" s="20">
        <v>2747.8251318101934</v>
      </c>
      <c r="N10" s="21">
        <v>0.46121419986515405</v>
      </c>
      <c r="O10" s="1"/>
      <c r="P10" s="1"/>
      <c r="Q10" s="1"/>
      <c r="R10" s="1"/>
    </row>
    <row r="11">
      <c r="A11" s="8">
        <v>9.0</v>
      </c>
      <c r="B11" s="9">
        <v>3360.0</v>
      </c>
      <c r="C11" s="9">
        <v>3659.0</v>
      </c>
      <c r="D11" s="9">
        <v>7496500.0</v>
      </c>
      <c r="E11" s="9">
        <v>3334100.0</v>
      </c>
      <c r="F11" s="10">
        <f t="shared" ref="F11:I11" si="11">B11/B$13</f>
        <v>0.1056703463</v>
      </c>
      <c r="G11" s="11">
        <f t="shared" si="11"/>
        <v>0.05972902383</v>
      </c>
      <c r="H11" s="11">
        <f t="shared" si="11"/>
        <v>0.02302360198</v>
      </c>
      <c r="I11" s="11">
        <f t="shared" si="11"/>
        <v>0.02137022559</v>
      </c>
      <c r="J11" s="18">
        <f t="shared" si="3"/>
        <v>2231.10119</v>
      </c>
      <c r="K11" s="18">
        <v>992.2916666666666</v>
      </c>
      <c r="L11" s="19">
        <v>1.0889880952380953</v>
      </c>
      <c r="M11" s="20">
        <v>2048.7838207160426</v>
      </c>
      <c r="N11" s="21">
        <v>0.4447542186353632</v>
      </c>
      <c r="O11" s="1"/>
      <c r="P11" s="1"/>
      <c r="Q11" s="1"/>
      <c r="R11" s="1"/>
    </row>
    <row r="12">
      <c r="A12" s="8">
        <v>10.0</v>
      </c>
      <c r="B12" s="9">
        <v>3186.0</v>
      </c>
      <c r="C12" s="9">
        <v>3270.0</v>
      </c>
      <c r="D12" s="9">
        <v>3740550.0</v>
      </c>
      <c r="E12" s="9">
        <v>1554795.0</v>
      </c>
      <c r="F12" s="10">
        <f t="shared" ref="F12:I12" si="12">B12/B$13</f>
        <v>0.1001981319</v>
      </c>
      <c r="G12" s="11">
        <f t="shared" si="12"/>
        <v>0.05337904016</v>
      </c>
      <c r="H12" s="11">
        <f t="shared" si="12"/>
        <v>0.01148815239</v>
      </c>
      <c r="I12" s="11">
        <f t="shared" si="12"/>
        <v>0.009965603878</v>
      </c>
      <c r="J12" s="22">
        <f t="shared" si="3"/>
        <v>1174.05838</v>
      </c>
      <c r="K12" s="22">
        <v>488.00847457627117</v>
      </c>
      <c r="L12" s="23">
        <v>1.0263653483992468</v>
      </c>
      <c r="M12" s="24">
        <v>1143.8990825688074</v>
      </c>
      <c r="N12" s="25">
        <v>0.4156594618438465</v>
      </c>
      <c r="O12" s="1"/>
      <c r="P12" s="1"/>
      <c r="Q12" s="1"/>
      <c r="R12" s="1"/>
    </row>
    <row r="13">
      <c r="A13" s="26" t="s">
        <v>11</v>
      </c>
      <c r="B13" s="27">
        <f t="shared" ref="B13:I13" si="13">SUM(B3:B12)</f>
        <v>31797</v>
      </c>
      <c r="C13" s="27">
        <f t="shared" si="13"/>
        <v>61260</v>
      </c>
      <c r="D13" s="27">
        <f t="shared" si="13"/>
        <v>325600660</v>
      </c>
      <c r="E13" s="27">
        <f t="shared" si="13"/>
        <v>156016135</v>
      </c>
      <c r="F13" s="11">
        <f t="shared" si="13"/>
        <v>1</v>
      </c>
      <c r="G13" s="11">
        <f t="shared" si="13"/>
        <v>1</v>
      </c>
      <c r="H13" s="11">
        <f t="shared" si="13"/>
        <v>1</v>
      </c>
      <c r="I13" s="11">
        <f t="shared" si="13"/>
        <v>1</v>
      </c>
      <c r="J13" s="28"/>
      <c r="K13" s="29">
        <v>4906.630656980218</v>
      </c>
      <c r="L13" s="30">
        <v>1.926596848759317</v>
      </c>
      <c r="M13" s="31">
        <v>5315.061377734248</v>
      </c>
      <c r="N13" s="10">
        <v>0.4791640625052787</v>
      </c>
      <c r="O13" s="1"/>
      <c r="P13" s="1"/>
      <c r="Q13" s="1"/>
      <c r="R13" s="1"/>
    </row>
    <row r="14">
      <c r="A14" s="32" t="s">
        <v>12</v>
      </c>
      <c r="B14" s="33"/>
      <c r="C14" s="33"/>
      <c r="D14" s="33"/>
      <c r="E14" s="33"/>
      <c r="F14" s="2"/>
      <c r="G14" s="3"/>
      <c r="H14" s="3"/>
      <c r="I14" s="1"/>
      <c r="J14" s="1"/>
      <c r="K14" s="1"/>
      <c r="L14" s="1"/>
      <c r="M14" s="1"/>
      <c r="N14" s="1"/>
      <c r="O14" s="1"/>
      <c r="P14" s="1"/>
      <c r="Q14" s="1"/>
      <c r="R14" s="1"/>
    </row>
    <row r="15">
      <c r="A15" s="34"/>
      <c r="B15" s="1"/>
      <c r="C15" s="1"/>
      <c r="D15" s="1"/>
      <c r="E15" s="1"/>
      <c r="F15" s="2"/>
      <c r="G15" s="3"/>
      <c r="H15" s="3"/>
      <c r="I15" s="1"/>
      <c r="J15" s="1"/>
      <c r="K15" s="1"/>
      <c r="L15" s="1"/>
      <c r="M15" s="1"/>
      <c r="N15" s="1"/>
      <c r="O15" s="1"/>
      <c r="P15" s="1"/>
      <c r="Q15" s="1"/>
      <c r="R15" s="1"/>
    </row>
    <row r="16">
      <c r="A16" s="1"/>
      <c r="B16" s="1"/>
      <c r="C16" s="1"/>
      <c r="D16" s="1"/>
      <c r="E16" s="1"/>
      <c r="F16" s="2"/>
      <c r="G16" s="3"/>
      <c r="H16" s="3"/>
      <c r="I16" s="1"/>
      <c r="J16" s="1"/>
      <c r="K16" s="1"/>
      <c r="L16" s="1"/>
      <c r="M16" s="1"/>
      <c r="N16" s="1"/>
      <c r="O16" s="1"/>
      <c r="P16" s="1"/>
      <c r="Q16" s="1"/>
      <c r="R16" s="1"/>
    </row>
    <row r="17">
      <c r="A17" s="1"/>
      <c r="B17" s="1"/>
      <c r="C17" s="1"/>
      <c r="D17" s="1"/>
      <c r="E17" s="1"/>
      <c r="F17" s="2"/>
      <c r="G17" s="3"/>
      <c r="H17" s="3"/>
      <c r="I17" s="1"/>
      <c r="J17" s="1"/>
      <c r="K17" s="1"/>
      <c r="L17" s="1"/>
      <c r="M17" s="1"/>
      <c r="N17" s="1"/>
      <c r="O17" s="1"/>
      <c r="P17" s="1"/>
      <c r="Q17" s="1"/>
      <c r="R17" s="1"/>
    </row>
    <row r="18">
      <c r="A18" s="1"/>
      <c r="B18" s="1"/>
      <c r="C18" s="1"/>
      <c r="D18" s="1"/>
      <c r="E18" s="35"/>
      <c r="F18" s="1"/>
      <c r="G18" s="3"/>
      <c r="H18" s="3"/>
      <c r="I18" s="1"/>
      <c r="J18" s="1"/>
      <c r="K18" s="1"/>
      <c r="L18" s="1"/>
      <c r="M18" s="1"/>
      <c r="N18" s="1"/>
      <c r="O18" s="1"/>
      <c r="P18" s="1"/>
      <c r="Q18" s="1"/>
      <c r="R18" s="1"/>
    </row>
    <row r="19">
      <c r="A19" s="1"/>
      <c r="B19" s="1"/>
      <c r="C19" s="1"/>
      <c r="D19" s="1"/>
      <c r="E19" s="1"/>
      <c r="F19" s="2"/>
      <c r="G19" s="3"/>
      <c r="H19" s="3"/>
      <c r="I19" s="1"/>
      <c r="J19" s="1"/>
      <c r="K19" s="1"/>
      <c r="L19" s="1"/>
      <c r="M19" s="1"/>
      <c r="N19" s="1"/>
      <c r="O19" s="1"/>
      <c r="P19" s="1"/>
      <c r="Q19" s="1"/>
      <c r="R19" s="1"/>
    </row>
    <row r="20">
      <c r="A20" s="1"/>
      <c r="B20" s="1"/>
      <c r="C20" s="1"/>
      <c r="D20" s="1"/>
      <c r="E20" s="1"/>
      <c r="F20" s="2"/>
      <c r="G20" s="3"/>
      <c r="H20" s="3"/>
      <c r="I20" s="1"/>
      <c r="J20" s="1"/>
      <c r="K20" s="1"/>
      <c r="L20" s="1"/>
      <c r="M20" s="1"/>
      <c r="N20" s="1"/>
      <c r="O20" s="1"/>
      <c r="P20" s="1"/>
      <c r="Q20" s="1"/>
      <c r="R20" s="1"/>
    </row>
    <row r="21">
      <c r="A21" s="1"/>
      <c r="B21" s="1"/>
      <c r="C21" s="1"/>
      <c r="D21" s="1"/>
      <c r="E21" s="1"/>
      <c r="F21" s="2"/>
      <c r="G21" s="3"/>
      <c r="H21" s="3"/>
      <c r="I21" s="1"/>
      <c r="J21" s="1"/>
      <c r="K21" s="1"/>
      <c r="L21" s="1"/>
      <c r="M21" s="1"/>
      <c r="N21" s="1"/>
      <c r="O21" s="1"/>
      <c r="P21" s="1"/>
      <c r="Q21" s="1"/>
      <c r="R21" s="1"/>
    </row>
    <row r="22">
      <c r="A22" s="1"/>
      <c r="B22" s="1"/>
      <c r="C22" s="1"/>
      <c r="D22" s="1"/>
      <c r="E22" s="1"/>
      <c r="F22" s="2"/>
      <c r="G22" s="3"/>
      <c r="H22" s="3"/>
      <c r="I22" s="1"/>
      <c r="J22" s="1"/>
      <c r="K22" s="1"/>
      <c r="L22" s="1"/>
      <c r="M22" s="1"/>
      <c r="N22" s="1"/>
      <c r="O22" s="1"/>
      <c r="P22" s="1"/>
      <c r="Q22" s="1"/>
      <c r="R22" s="1"/>
    </row>
    <row r="23">
      <c r="A23" s="1"/>
      <c r="B23" s="1"/>
      <c r="C23" s="1"/>
      <c r="D23" s="1"/>
      <c r="E23" s="1"/>
      <c r="F23" s="2"/>
      <c r="G23" s="3"/>
      <c r="H23" s="3"/>
      <c r="I23" s="1"/>
      <c r="J23" s="1"/>
      <c r="K23" s="1"/>
      <c r="L23" s="1"/>
      <c r="M23" s="1"/>
      <c r="N23" s="1"/>
      <c r="O23" s="1"/>
      <c r="P23" s="1"/>
      <c r="Q23" s="1"/>
      <c r="R23" s="1"/>
    </row>
    <row r="24">
      <c r="A24" s="1"/>
      <c r="B24" s="1"/>
      <c r="C24" s="1"/>
      <c r="D24" s="1"/>
      <c r="E24" s="1"/>
      <c r="F24" s="2"/>
      <c r="G24" s="3"/>
      <c r="H24" s="3"/>
      <c r="I24" s="1"/>
      <c r="J24" s="1"/>
      <c r="K24" s="1"/>
      <c r="L24" s="1"/>
      <c r="M24" s="1"/>
      <c r="N24" s="1"/>
      <c r="O24" s="1"/>
      <c r="P24" s="1"/>
      <c r="Q24" s="1"/>
      <c r="R24" s="1"/>
    </row>
    <row r="25">
      <c r="A25" s="1"/>
      <c r="B25" s="1"/>
      <c r="C25" s="1"/>
      <c r="D25" s="1"/>
      <c r="E25" s="1"/>
      <c r="F25" s="2"/>
      <c r="G25" s="3"/>
      <c r="H25" s="3"/>
      <c r="I25" s="1"/>
      <c r="J25" s="1"/>
      <c r="K25" s="1"/>
      <c r="L25" s="1"/>
      <c r="M25" s="1"/>
      <c r="N25" s="1"/>
      <c r="O25" s="1"/>
      <c r="P25" s="1"/>
      <c r="Q25" s="1"/>
      <c r="R25" s="1"/>
    </row>
    <row r="26">
      <c r="A26" s="1"/>
      <c r="B26" s="1"/>
      <c r="C26" s="1"/>
      <c r="D26" s="1"/>
      <c r="E26" s="1"/>
      <c r="F26" s="2"/>
      <c r="G26" s="3"/>
      <c r="H26" s="3"/>
      <c r="I26" s="1"/>
      <c r="J26" s="1"/>
      <c r="K26" s="1"/>
      <c r="L26" s="1"/>
      <c r="M26" s="1"/>
      <c r="N26" s="1"/>
      <c r="O26" s="1"/>
      <c r="P26" s="1"/>
      <c r="Q26" s="1"/>
      <c r="R26" s="1"/>
    </row>
    <row r="27">
      <c r="A27" s="1"/>
      <c r="B27" s="1"/>
      <c r="C27" s="1"/>
      <c r="D27" s="1"/>
      <c r="E27" s="1"/>
      <c r="F27" s="2"/>
      <c r="G27" s="3"/>
      <c r="H27" s="3"/>
      <c r="I27" s="1"/>
      <c r="J27" s="1"/>
      <c r="K27" s="1"/>
      <c r="L27" s="1"/>
      <c r="M27" s="1"/>
      <c r="N27" s="1"/>
      <c r="O27" s="1"/>
      <c r="P27" s="1"/>
      <c r="Q27" s="1"/>
      <c r="R27" s="1"/>
    </row>
    <row r="28">
      <c r="A28" s="1"/>
      <c r="B28" s="1"/>
      <c r="C28" s="1"/>
      <c r="D28" s="1"/>
      <c r="E28" s="1"/>
      <c r="F28" s="2"/>
      <c r="G28" s="3"/>
      <c r="H28" s="3"/>
      <c r="I28" s="1"/>
      <c r="J28" s="1"/>
      <c r="K28" s="1"/>
      <c r="L28" s="1"/>
      <c r="M28" s="1"/>
      <c r="N28" s="1"/>
      <c r="O28" s="1"/>
      <c r="P28" s="1"/>
      <c r="Q28" s="1"/>
      <c r="R28" s="1"/>
    </row>
    <row r="29">
      <c r="A29" s="1"/>
      <c r="B29" s="1"/>
      <c r="C29" s="1"/>
      <c r="D29" s="1"/>
      <c r="E29" s="1"/>
      <c r="F29" s="2"/>
      <c r="G29" s="3"/>
      <c r="H29" s="3"/>
      <c r="I29" s="1"/>
      <c r="J29" s="1"/>
      <c r="K29" s="1"/>
      <c r="L29" s="1"/>
      <c r="M29" s="1"/>
      <c r="N29" s="1"/>
      <c r="O29" s="1"/>
      <c r="P29" s="1"/>
      <c r="Q29" s="1"/>
      <c r="R29" s="1"/>
    </row>
    <row r="30">
      <c r="A30" s="1"/>
      <c r="B30" s="1"/>
      <c r="C30" s="1"/>
      <c r="D30" s="1"/>
      <c r="E30" s="1"/>
      <c r="F30" s="2"/>
      <c r="G30" s="3"/>
      <c r="H30" s="3"/>
      <c r="I30" s="1"/>
      <c r="J30" s="1"/>
      <c r="K30" s="1"/>
      <c r="L30" s="1"/>
      <c r="M30" s="1"/>
      <c r="N30" s="1"/>
      <c r="O30" s="1"/>
      <c r="P30" s="1"/>
      <c r="Q30" s="1"/>
      <c r="R30" s="1"/>
    </row>
    <row r="31">
      <c r="A31" s="1"/>
      <c r="B31" s="1"/>
      <c r="C31" s="1"/>
      <c r="D31" s="1"/>
      <c r="E31" s="1"/>
      <c r="F31" s="2"/>
      <c r="G31" s="3"/>
      <c r="H31" s="3"/>
      <c r="I31" s="1"/>
      <c r="J31" s="1"/>
      <c r="K31" s="1"/>
      <c r="L31" s="1"/>
      <c r="M31" s="1"/>
      <c r="N31" s="1"/>
      <c r="O31" s="1"/>
      <c r="P31" s="1"/>
      <c r="Q31" s="1"/>
      <c r="R31" s="1"/>
    </row>
    <row r="39">
      <c r="A39" s="36" t="s">
        <v>13</v>
      </c>
      <c r="D39" s="36" t="s">
        <v>14</v>
      </c>
    </row>
    <row r="40">
      <c r="D40" s="36" t="s">
        <v>15</v>
      </c>
    </row>
    <row r="41">
      <c r="A41" s="36" t="s">
        <v>16</v>
      </c>
    </row>
    <row r="43">
      <c r="A43" s="36" t="s">
        <v>17</v>
      </c>
    </row>
    <row r="45">
      <c r="A45" s="36" t="s">
        <v>18</v>
      </c>
    </row>
    <row r="47">
      <c r="A47" s="36" t="s">
        <v>19</v>
      </c>
    </row>
    <row r="49">
      <c r="A49" s="36" t="s">
        <v>20</v>
      </c>
    </row>
    <row r="51">
      <c r="A51" s="36" t="s">
        <v>21</v>
      </c>
    </row>
    <row r="53">
      <c r="A53" s="36" t="s">
        <v>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23</v>
      </c>
      <c r="B1" s="37" t="s">
        <v>2</v>
      </c>
      <c r="C1" s="37" t="s">
        <v>3</v>
      </c>
      <c r="D1" s="37" t="s">
        <v>4</v>
      </c>
      <c r="E1" s="37" t="s">
        <v>5</v>
      </c>
      <c r="F1" s="11"/>
    </row>
    <row r="2">
      <c r="A2" s="16" t="s">
        <v>24</v>
      </c>
      <c r="B2" s="17">
        <v>2943.0</v>
      </c>
      <c r="C2" s="17">
        <v>3683.0</v>
      </c>
      <c r="D2" s="17">
        <v>2.180398E7</v>
      </c>
      <c r="E2" s="17">
        <v>1.0398135E7</v>
      </c>
      <c r="F2" s="11">
        <f t="shared" ref="F2:F17" si="1">B2/$B$2</f>
        <v>1</v>
      </c>
    </row>
    <row r="3">
      <c r="A3" s="8" t="s">
        <v>25</v>
      </c>
      <c r="B3" s="9">
        <v>346.0</v>
      </c>
      <c r="C3" s="9">
        <v>513.0</v>
      </c>
      <c r="D3" s="9">
        <v>2765015.0</v>
      </c>
      <c r="E3" s="9">
        <v>1386330.0</v>
      </c>
      <c r="F3" s="11">
        <f t="shared" si="1"/>
        <v>0.1175671084</v>
      </c>
    </row>
    <row r="4">
      <c r="A4" s="8" t="s">
        <v>26</v>
      </c>
      <c r="B4" s="9">
        <v>313.0</v>
      </c>
      <c r="C4" s="9">
        <v>451.0</v>
      </c>
      <c r="D4" s="9">
        <v>2352130.0</v>
      </c>
      <c r="E4" s="9">
        <v>1173700.0</v>
      </c>
      <c r="F4" s="11">
        <f t="shared" si="1"/>
        <v>0.1063540605</v>
      </c>
    </row>
    <row r="5">
      <c r="A5" s="8" t="s">
        <v>27</v>
      </c>
      <c r="B5" s="9">
        <v>485.0</v>
      </c>
      <c r="C5" s="9">
        <v>819.0</v>
      </c>
      <c r="D5" s="9">
        <v>4692930.0</v>
      </c>
      <c r="E5" s="9">
        <v>2335300.0</v>
      </c>
      <c r="F5" s="11">
        <f t="shared" si="1"/>
        <v>0.1647978253</v>
      </c>
    </row>
    <row r="6">
      <c r="A6" s="8" t="s">
        <v>28</v>
      </c>
      <c r="B6" s="9">
        <v>296.0</v>
      </c>
      <c r="C6" s="9">
        <v>435.0</v>
      </c>
      <c r="D6" s="9">
        <v>2411530.0</v>
      </c>
      <c r="E6" s="9">
        <v>1161600.0</v>
      </c>
      <c r="F6" s="11">
        <f t="shared" si="1"/>
        <v>0.1005776419</v>
      </c>
    </row>
    <row r="7">
      <c r="A7" s="8" t="s">
        <v>29</v>
      </c>
      <c r="B7" s="9">
        <v>286.0</v>
      </c>
      <c r="C7" s="9">
        <v>453.0</v>
      </c>
      <c r="D7" s="9">
        <v>2186470.0</v>
      </c>
      <c r="E7" s="9">
        <v>1074425.0</v>
      </c>
      <c r="F7" s="11">
        <f t="shared" si="1"/>
        <v>0.09717974856</v>
      </c>
    </row>
    <row r="8">
      <c r="A8" s="8" t="s">
        <v>30</v>
      </c>
      <c r="B8" s="9">
        <v>245.0</v>
      </c>
      <c r="C8" s="9">
        <v>396.0</v>
      </c>
      <c r="D8" s="9">
        <v>2040280.0</v>
      </c>
      <c r="E8" s="9">
        <v>988295.0</v>
      </c>
      <c r="F8" s="11">
        <f t="shared" si="1"/>
        <v>0.083248386</v>
      </c>
    </row>
    <row r="9">
      <c r="A9" s="8" t="s">
        <v>31</v>
      </c>
      <c r="B9" s="9">
        <v>420.0</v>
      </c>
      <c r="C9" s="9">
        <v>808.0</v>
      </c>
      <c r="D9" s="9">
        <v>4619175.0</v>
      </c>
      <c r="E9" s="9">
        <v>2215950.0</v>
      </c>
      <c r="F9" s="11">
        <f t="shared" si="1"/>
        <v>0.1427115189</v>
      </c>
    </row>
    <row r="10">
      <c r="A10" s="8" t="s">
        <v>32</v>
      </c>
      <c r="B10" s="9">
        <v>312.0</v>
      </c>
      <c r="C10" s="9">
        <v>481.0</v>
      </c>
      <c r="D10" s="9">
        <v>2391565.0</v>
      </c>
      <c r="E10" s="9">
        <v>1101815.0</v>
      </c>
      <c r="F10" s="11">
        <f t="shared" si="1"/>
        <v>0.1060142712</v>
      </c>
    </row>
    <row r="11">
      <c r="A11" s="8" t="s">
        <v>33</v>
      </c>
      <c r="B11" s="9">
        <v>281.0</v>
      </c>
      <c r="C11" s="9">
        <v>462.0</v>
      </c>
      <c r="D11" s="9">
        <v>2061895.0</v>
      </c>
      <c r="E11" s="9">
        <v>960080.0</v>
      </c>
      <c r="F11" s="11">
        <f t="shared" si="1"/>
        <v>0.0954808019</v>
      </c>
    </row>
    <row r="12">
      <c r="A12" s="8" t="s">
        <v>34</v>
      </c>
      <c r="B12" s="9">
        <v>220.0</v>
      </c>
      <c r="C12" s="9">
        <v>384.0</v>
      </c>
      <c r="D12" s="9">
        <v>1826220.0</v>
      </c>
      <c r="E12" s="9">
        <v>838310.0</v>
      </c>
      <c r="F12" s="11">
        <f t="shared" si="1"/>
        <v>0.07475365274</v>
      </c>
    </row>
    <row r="13">
      <c r="A13" s="8" t="s">
        <v>35</v>
      </c>
      <c r="B13" s="9">
        <v>358.0</v>
      </c>
      <c r="C13" s="9">
        <v>722.0</v>
      </c>
      <c r="D13" s="9">
        <v>3652880.0</v>
      </c>
      <c r="E13" s="9">
        <v>1726835.0</v>
      </c>
      <c r="F13" s="11">
        <f t="shared" si="1"/>
        <v>0.1216445804</v>
      </c>
    </row>
    <row r="14">
      <c r="A14" s="8" t="s">
        <v>36</v>
      </c>
      <c r="B14" s="9">
        <v>244.0</v>
      </c>
      <c r="C14" s="9">
        <v>397.0</v>
      </c>
      <c r="D14" s="9">
        <v>1945185.0</v>
      </c>
      <c r="E14" s="9">
        <v>908215.0</v>
      </c>
      <c r="F14" s="11">
        <f t="shared" si="1"/>
        <v>0.08290859667</v>
      </c>
    </row>
    <row r="15">
      <c r="A15" s="8" t="s">
        <v>37</v>
      </c>
      <c r="B15" s="9">
        <v>236.0</v>
      </c>
      <c r="C15" s="9">
        <v>390.0</v>
      </c>
      <c r="D15" s="9">
        <v>1882925.0</v>
      </c>
      <c r="E15" s="9">
        <v>884840.0</v>
      </c>
      <c r="F15" s="11">
        <f t="shared" si="1"/>
        <v>0.08019028203</v>
      </c>
    </row>
    <row r="16">
      <c r="A16" s="8" t="s">
        <v>38</v>
      </c>
      <c r="B16" s="9">
        <v>201.0</v>
      </c>
      <c r="C16" s="9">
        <v>338.0</v>
      </c>
      <c r="D16" s="9">
        <v>1504580.0</v>
      </c>
      <c r="E16" s="9">
        <v>703560.0</v>
      </c>
      <c r="F16" s="11">
        <f t="shared" si="1"/>
        <v>0.06829765545</v>
      </c>
    </row>
    <row r="17">
      <c r="A17" s="38" t="s">
        <v>39</v>
      </c>
      <c r="B17" s="39">
        <v>353.0</v>
      </c>
      <c r="C17" s="39">
        <v>657.0</v>
      </c>
      <c r="D17" s="39">
        <v>3447070.0</v>
      </c>
      <c r="E17" s="39">
        <v>1627065.0</v>
      </c>
      <c r="F17" s="11">
        <f t="shared" si="1"/>
        <v>0.1199456337</v>
      </c>
    </row>
    <row r="21">
      <c r="A21" s="40" t="s">
        <v>23</v>
      </c>
      <c r="B21" s="40" t="s">
        <v>2</v>
      </c>
      <c r="C21" s="40" t="s">
        <v>3</v>
      </c>
      <c r="D21" s="40" t="s">
        <v>4</v>
      </c>
      <c r="E21" s="40" t="s">
        <v>5</v>
      </c>
      <c r="F21" s="40" t="s">
        <v>40</v>
      </c>
      <c r="G21" s="40" t="s">
        <v>41</v>
      </c>
      <c r="H21" s="40" t="s">
        <v>42</v>
      </c>
      <c r="I21" s="40" t="s">
        <v>43</v>
      </c>
    </row>
    <row r="22">
      <c r="A22" s="41" t="str">
        <f t="shared" ref="A22:E22" si="2">A2</f>
        <v>2021Q1</v>
      </c>
      <c r="B22" s="42">
        <f t="shared" si="2"/>
        <v>2943</v>
      </c>
      <c r="C22" s="43">
        <f t="shared" si="2"/>
        <v>3683</v>
      </c>
      <c r="D22" s="43">
        <f t="shared" si="2"/>
        <v>21803980</v>
      </c>
      <c r="E22" s="43">
        <f t="shared" si="2"/>
        <v>10398135</v>
      </c>
      <c r="F22" s="44">
        <f t="shared" ref="F22:F37" si="5">B2/$B$2</f>
        <v>1</v>
      </c>
      <c r="G22" s="45">
        <f t="shared" ref="G22:G37" si="6">D2/B2</f>
        <v>7408.759769</v>
      </c>
      <c r="H22" s="46">
        <f t="shared" ref="H22:I22" si="3">C2/B2</f>
        <v>1.251444105</v>
      </c>
      <c r="I22" s="45">
        <f t="shared" si="3"/>
        <v>5920.168341</v>
      </c>
    </row>
    <row r="23">
      <c r="A23" s="47" t="str">
        <f t="shared" ref="A23:E23" si="4">A3</f>
        <v>2021Q2</v>
      </c>
      <c r="B23" s="48">
        <f t="shared" si="4"/>
        <v>346</v>
      </c>
      <c r="C23" s="49">
        <f t="shared" si="4"/>
        <v>513</v>
      </c>
      <c r="D23" s="49">
        <f t="shared" si="4"/>
        <v>2765015</v>
      </c>
      <c r="E23" s="49">
        <f t="shared" si="4"/>
        <v>1386330</v>
      </c>
      <c r="F23" s="50">
        <f t="shared" si="5"/>
        <v>0.1175671084</v>
      </c>
      <c r="G23" s="51">
        <f t="shared" si="6"/>
        <v>7991.372832</v>
      </c>
      <c r="H23" s="52">
        <f t="shared" ref="H23:I23" si="7">C3/B3</f>
        <v>1.48265896</v>
      </c>
      <c r="I23" s="51">
        <f t="shared" si="7"/>
        <v>5389.892788</v>
      </c>
    </row>
    <row r="24">
      <c r="A24" s="47" t="str">
        <f t="shared" ref="A24:E24" si="8">A4</f>
        <v>2021Q3</v>
      </c>
      <c r="B24" s="48">
        <f t="shared" si="8"/>
        <v>313</v>
      </c>
      <c r="C24" s="49">
        <f t="shared" si="8"/>
        <v>451</v>
      </c>
      <c r="D24" s="49">
        <f t="shared" si="8"/>
        <v>2352130</v>
      </c>
      <c r="E24" s="49">
        <f t="shared" si="8"/>
        <v>1173700</v>
      </c>
      <c r="F24" s="50">
        <f t="shared" si="5"/>
        <v>0.1063540605</v>
      </c>
      <c r="G24" s="51">
        <f t="shared" si="6"/>
        <v>7514.792332</v>
      </c>
      <c r="H24" s="52">
        <f t="shared" ref="H24:I24" si="9">C4/B4</f>
        <v>1.440894569</v>
      </c>
      <c r="I24" s="51">
        <f t="shared" si="9"/>
        <v>5215.365854</v>
      </c>
    </row>
    <row r="25">
      <c r="A25" s="47" t="str">
        <f t="shared" ref="A25:E25" si="10">A5</f>
        <v>2021Q4</v>
      </c>
      <c r="B25" s="48">
        <f t="shared" si="10"/>
        <v>485</v>
      </c>
      <c r="C25" s="49">
        <f t="shared" si="10"/>
        <v>819</v>
      </c>
      <c r="D25" s="49">
        <f t="shared" si="10"/>
        <v>4692930</v>
      </c>
      <c r="E25" s="49">
        <f t="shared" si="10"/>
        <v>2335300</v>
      </c>
      <c r="F25" s="50">
        <f t="shared" si="5"/>
        <v>0.1647978253</v>
      </c>
      <c r="G25" s="51">
        <f t="shared" si="6"/>
        <v>9676.14433</v>
      </c>
      <c r="H25" s="52">
        <f t="shared" ref="H25:I25" si="11">C5/B5</f>
        <v>1.688659794</v>
      </c>
      <c r="I25" s="51">
        <f t="shared" si="11"/>
        <v>5730.07326</v>
      </c>
    </row>
    <row r="26">
      <c r="A26" s="47" t="str">
        <f t="shared" ref="A26:E26" si="12">A6</f>
        <v>2022Q1</v>
      </c>
      <c r="B26" s="48">
        <f t="shared" si="12"/>
        <v>296</v>
      </c>
      <c r="C26" s="49">
        <f t="shared" si="12"/>
        <v>435</v>
      </c>
      <c r="D26" s="49">
        <f t="shared" si="12"/>
        <v>2411530</v>
      </c>
      <c r="E26" s="49">
        <f t="shared" si="12"/>
        <v>1161600</v>
      </c>
      <c r="F26" s="50">
        <f t="shared" si="5"/>
        <v>0.1005776419</v>
      </c>
      <c r="G26" s="51">
        <f t="shared" si="6"/>
        <v>8147.060811</v>
      </c>
      <c r="H26" s="52">
        <f t="shared" ref="H26:I26" si="13">C6/B6</f>
        <v>1.469594595</v>
      </c>
      <c r="I26" s="51">
        <f t="shared" si="13"/>
        <v>5543.747126</v>
      </c>
    </row>
    <row r="27">
      <c r="A27" s="47" t="str">
        <f t="shared" ref="A27:E27" si="14">A7</f>
        <v>2022Q2</v>
      </c>
      <c r="B27" s="48">
        <f t="shared" si="14"/>
        <v>286</v>
      </c>
      <c r="C27" s="49">
        <f t="shared" si="14"/>
        <v>453</v>
      </c>
      <c r="D27" s="49">
        <f t="shared" si="14"/>
        <v>2186470</v>
      </c>
      <c r="E27" s="49">
        <f t="shared" si="14"/>
        <v>1074425</v>
      </c>
      <c r="F27" s="50">
        <f t="shared" si="5"/>
        <v>0.09717974856</v>
      </c>
      <c r="G27" s="51">
        <f t="shared" si="6"/>
        <v>7645</v>
      </c>
      <c r="H27" s="52">
        <f t="shared" ref="H27:I27" si="15">C7/B7</f>
        <v>1.583916084</v>
      </c>
      <c r="I27" s="51">
        <f t="shared" si="15"/>
        <v>4826.644592</v>
      </c>
    </row>
    <row r="28">
      <c r="A28" s="47" t="str">
        <f t="shared" ref="A28:E28" si="16">A8</f>
        <v>2022Q3</v>
      </c>
      <c r="B28" s="48">
        <f t="shared" si="16"/>
        <v>245</v>
      </c>
      <c r="C28" s="49">
        <f t="shared" si="16"/>
        <v>396</v>
      </c>
      <c r="D28" s="49">
        <f t="shared" si="16"/>
        <v>2040280</v>
      </c>
      <c r="E28" s="49">
        <f t="shared" si="16"/>
        <v>988295</v>
      </c>
      <c r="F28" s="50">
        <f t="shared" si="5"/>
        <v>0.083248386</v>
      </c>
      <c r="G28" s="51">
        <f t="shared" si="6"/>
        <v>8327.673469</v>
      </c>
      <c r="H28" s="52">
        <f t="shared" ref="H28:I28" si="17">C8/B8</f>
        <v>1.616326531</v>
      </c>
      <c r="I28" s="51">
        <f t="shared" si="17"/>
        <v>5152.222222</v>
      </c>
    </row>
    <row r="29">
      <c r="A29" s="47" t="str">
        <f t="shared" ref="A29:E29" si="18">A9</f>
        <v>2022Q4</v>
      </c>
      <c r="B29" s="48">
        <f t="shared" si="18"/>
        <v>420</v>
      </c>
      <c r="C29" s="49">
        <f t="shared" si="18"/>
        <v>808</v>
      </c>
      <c r="D29" s="49">
        <f t="shared" si="18"/>
        <v>4619175</v>
      </c>
      <c r="E29" s="49">
        <f t="shared" si="18"/>
        <v>2215950</v>
      </c>
      <c r="F29" s="50">
        <f t="shared" si="5"/>
        <v>0.1427115189</v>
      </c>
      <c r="G29" s="51">
        <f t="shared" si="6"/>
        <v>10998.03571</v>
      </c>
      <c r="H29" s="52">
        <f t="shared" ref="H29:I29" si="19">C9/B9</f>
        <v>1.923809524</v>
      </c>
      <c r="I29" s="51">
        <f t="shared" si="19"/>
        <v>5716.800743</v>
      </c>
    </row>
    <row r="30">
      <c r="A30" s="47" t="str">
        <f t="shared" ref="A30:E30" si="20">A10</f>
        <v>2023Q1</v>
      </c>
      <c r="B30" s="48">
        <f t="shared" si="20"/>
        <v>312</v>
      </c>
      <c r="C30" s="49">
        <f t="shared" si="20"/>
        <v>481</v>
      </c>
      <c r="D30" s="49">
        <f t="shared" si="20"/>
        <v>2391565</v>
      </c>
      <c r="E30" s="49">
        <f t="shared" si="20"/>
        <v>1101815</v>
      </c>
      <c r="F30" s="50">
        <f t="shared" si="5"/>
        <v>0.1060142712</v>
      </c>
      <c r="G30" s="51">
        <f t="shared" si="6"/>
        <v>7665.272436</v>
      </c>
      <c r="H30" s="52">
        <f t="shared" ref="H30:I30" si="21">C10/B10</f>
        <v>1.541666667</v>
      </c>
      <c r="I30" s="51">
        <f t="shared" si="21"/>
        <v>4972.068607</v>
      </c>
    </row>
    <row r="31">
      <c r="A31" s="47" t="str">
        <f t="shared" ref="A31:E31" si="22">A11</f>
        <v>2023Q2</v>
      </c>
      <c r="B31" s="48">
        <f t="shared" si="22"/>
        <v>281</v>
      </c>
      <c r="C31" s="49">
        <f t="shared" si="22"/>
        <v>462</v>
      </c>
      <c r="D31" s="49">
        <f t="shared" si="22"/>
        <v>2061895</v>
      </c>
      <c r="E31" s="49">
        <f t="shared" si="22"/>
        <v>960080</v>
      </c>
      <c r="F31" s="50">
        <f t="shared" si="5"/>
        <v>0.0954808019</v>
      </c>
      <c r="G31" s="51">
        <f t="shared" si="6"/>
        <v>7337.704626</v>
      </c>
      <c r="H31" s="52">
        <f t="shared" ref="H31:I31" si="23">C11/B11</f>
        <v>1.644128114</v>
      </c>
      <c r="I31" s="51">
        <f t="shared" si="23"/>
        <v>4462.97619</v>
      </c>
    </row>
    <row r="32">
      <c r="A32" s="47" t="str">
        <f t="shared" ref="A32:E32" si="24">A12</f>
        <v>2023Q3</v>
      </c>
      <c r="B32" s="48">
        <f t="shared" si="24"/>
        <v>220</v>
      </c>
      <c r="C32" s="49">
        <f t="shared" si="24"/>
        <v>384</v>
      </c>
      <c r="D32" s="49">
        <f t="shared" si="24"/>
        <v>1826220</v>
      </c>
      <c r="E32" s="49">
        <f t="shared" si="24"/>
        <v>838310</v>
      </c>
      <c r="F32" s="50">
        <f t="shared" si="5"/>
        <v>0.07475365274</v>
      </c>
      <c r="G32" s="51">
        <f t="shared" si="6"/>
        <v>8301</v>
      </c>
      <c r="H32" s="52">
        <f t="shared" ref="H32:I32" si="25">C12/B12</f>
        <v>1.745454545</v>
      </c>
      <c r="I32" s="51">
        <f t="shared" si="25"/>
        <v>4755.78125</v>
      </c>
    </row>
    <row r="33">
      <c r="A33" s="47" t="str">
        <f t="shared" ref="A33:E33" si="26">A13</f>
        <v>2023Q4</v>
      </c>
      <c r="B33" s="48">
        <f t="shared" si="26"/>
        <v>358</v>
      </c>
      <c r="C33" s="49">
        <f t="shared" si="26"/>
        <v>722</v>
      </c>
      <c r="D33" s="49">
        <f t="shared" si="26"/>
        <v>3652880</v>
      </c>
      <c r="E33" s="49">
        <f t="shared" si="26"/>
        <v>1726835</v>
      </c>
      <c r="F33" s="50">
        <f t="shared" si="5"/>
        <v>0.1216445804</v>
      </c>
      <c r="G33" s="51">
        <f t="shared" si="6"/>
        <v>10203.57542</v>
      </c>
      <c r="H33" s="52">
        <f t="shared" ref="H33:I33" si="27">C13/B13</f>
        <v>2.016759777</v>
      </c>
      <c r="I33" s="51">
        <f t="shared" si="27"/>
        <v>5059.390582</v>
      </c>
    </row>
    <row r="34">
      <c r="A34" s="47" t="str">
        <f t="shared" ref="A34:E34" si="28">A14</f>
        <v>2024Q1</v>
      </c>
      <c r="B34" s="48">
        <f t="shared" si="28"/>
        <v>244</v>
      </c>
      <c r="C34" s="49">
        <f t="shared" si="28"/>
        <v>397</v>
      </c>
      <c r="D34" s="49">
        <f t="shared" si="28"/>
        <v>1945185</v>
      </c>
      <c r="E34" s="49">
        <f t="shared" si="28"/>
        <v>908215</v>
      </c>
      <c r="F34" s="50">
        <f t="shared" si="5"/>
        <v>0.08290859667</v>
      </c>
      <c r="G34" s="51">
        <f t="shared" si="6"/>
        <v>7972.069672</v>
      </c>
      <c r="H34" s="52">
        <f t="shared" ref="H34:I34" si="29">C14/B14</f>
        <v>1.62704918</v>
      </c>
      <c r="I34" s="51">
        <f t="shared" si="29"/>
        <v>4899.710327</v>
      </c>
    </row>
    <row r="35">
      <c r="A35" s="47" t="str">
        <f t="shared" ref="A35:E35" si="30">A15</f>
        <v>2024Q2</v>
      </c>
      <c r="B35" s="48">
        <f t="shared" si="30"/>
        <v>236</v>
      </c>
      <c r="C35" s="49">
        <f t="shared" si="30"/>
        <v>390</v>
      </c>
      <c r="D35" s="49">
        <f t="shared" si="30"/>
        <v>1882925</v>
      </c>
      <c r="E35" s="49">
        <f t="shared" si="30"/>
        <v>884840</v>
      </c>
      <c r="F35" s="50">
        <f t="shared" si="5"/>
        <v>0.08019028203</v>
      </c>
      <c r="G35" s="51">
        <f t="shared" si="6"/>
        <v>7978.495763</v>
      </c>
      <c r="H35" s="52">
        <f t="shared" ref="H35:I35" si="31">C15/B15</f>
        <v>1.652542373</v>
      </c>
      <c r="I35" s="51">
        <f t="shared" si="31"/>
        <v>4828.012821</v>
      </c>
    </row>
    <row r="36">
      <c r="A36" s="47" t="str">
        <f t="shared" ref="A36:E36" si="32">A16</f>
        <v>2024Q3</v>
      </c>
      <c r="B36" s="48">
        <f t="shared" si="32"/>
        <v>201</v>
      </c>
      <c r="C36" s="49">
        <f t="shared" si="32"/>
        <v>338</v>
      </c>
      <c r="D36" s="49">
        <f t="shared" si="32"/>
        <v>1504580</v>
      </c>
      <c r="E36" s="49">
        <f t="shared" si="32"/>
        <v>703560</v>
      </c>
      <c r="F36" s="50">
        <f t="shared" si="5"/>
        <v>0.06829765545</v>
      </c>
      <c r="G36" s="51">
        <f t="shared" si="6"/>
        <v>7485.472637</v>
      </c>
      <c r="H36" s="52">
        <f t="shared" ref="H36:I36" si="33">C16/B16</f>
        <v>1.68159204</v>
      </c>
      <c r="I36" s="51">
        <f t="shared" si="33"/>
        <v>4451.420118</v>
      </c>
    </row>
    <row r="37">
      <c r="A37" s="53" t="str">
        <f t="shared" ref="A37:E37" si="34">A17</f>
        <v>2024Q4</v>
      </c>
      <c r="B37" s="54">
        <f t="shared" si="34"/>
        <v>353</v>
      </c>
      <c r="C37" s="55">
        <f t="shared" si="34"/>
        <v>657</v>
      </c>
      <c r="D37" s="55">
        <f t="shared" si="34"/>
        <v>3447070</v>
      </c>
      <c r="E37" s="55">
        <f t="shared" si="34"/>
        <v>1627065</v>
      </c>
      <c r="F37" s="56">
        <f t="shared" si="5"/>
        <v>0.1199456337</v>
      </c>
      <c r="G37" s="57">
        <f t="shared" si="6"/>
        <v>9765.070822</v>
      </c>
      <c r="H37" s="58">
        <f t="shared" ref="H37:I37" si="35">C17/B17</f>
        <v>1.861189802</v>
      </c>
      <c r="I37" s="57">
        <f t="shared" si="35"/>
        <v>5246.681887</v>
      </c>
    </row>
    <row r="40">
      <c r="A40" s="36" t="s">
        <v>44</v>
      </c>
      <c r="E40" s="36" t="s">
        <v>45</v>
      </c>
    </row>
    <row r="42">
      <c r="A42" s="59"/>
      <c r="E42" s="36" t="s">
        <v>46</v>
      </c>
    </row>
    <row r="44">
      <c r="E44" s="36" t="s">
        <v>47</v>
      </c>
    </row>
    <row r="46">
      <c r="E46" s="36" t="s">
        <v>48</v>
      </c>
    </row>
    <row r="48">
      <c r="E48" s="36" t="s">
        <v>49</v>
      </c>
    </row>
    <row r="50">
      <c r="E50" s="36" t="s">
        <v>50</v>
      </c>
    </row>
    <row r="52">
      <c r="E52" s="36" t="s">
        <v>51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28"/>
      <c r="F1" s="1"/>
      <c r="G1" s="1"/>
      <c r="H1" s="1"/>
      <c r="I1" s="1"/>
      <c r="J1" s="1"/>
      <c r="K1" s="1"/>
      <c r="L1" s="1"/>
      <c r="M1" s="1"/>
      <c r="N1" s="1"/>
      <c r="O1" s="1"/>
      <c r="P1" s="1"/>
      <c r="Q1" s="1"/>
    </row>
    <row r="2">
      <c r="A2" s="1"/>
      <c r="B2" s="1"/>
      <c r="C2" s="1"/>
      <c r="D2" s="1"/>
      <c r="E2" s="28"/>
      <c r="F2" s="1"/>
      <c r="G2" s="1"/>
      <c r="H2" s="1"/>
      <c r="I2" s="1"/>
      <c r="J2" s="1"/>
      <c r="K2" s="1"/>
      <c r="L2" s="1"/>
      <c r="M2" s="1"/>
      <c r="N2" s="1"/>
      <c r="O2" s="1"/>
      <c r="P2" s="1"/>
      <c r="Q2" s="1"/>
      <c r="R2" s="1"/>
      <c r="S2" s="1"/>
      <c r="T2" s="1"/>
      <c r="U2" s="1"/>
      <c r="V2" s="1"/>
      <c r="W2" s="1"/>
      <c r="X2" s="1"/>
      <c r="Y2" s="1"/>
      <c r="Z2" s="1"/>
      <c r="AA2" s="1"/>
      <c r="AB2" s="1"/>
      <c r="AC2" s="1"/>
      <c r="AD2" s="1"/>
      <c r="AE2" s="1"/>
    </row>
    <row r="3">
      <c r="A3" s="60" t="s">
        <v>52</v>
      </c>
      <c r="B3" s="1"/>
      <c r="C3" s="1"/>
      <c r="D3" s="1"/>
      <c r="E3" s="28"/>
      <c r="F3" s="1"/>
      <c r="G3" s="1"/>
      <c r="H3" s="1"/>
      <c r="I3" s="1"/>
      <c r="J3" s="1"/>
      <c r="K3" s="60" t="s">
        <v>53</v>
      </c>
      <c r="L3" s="1"/>
      <c r="M3" s="1"/>
      <c r="N3" s="1"/>
      <c r="O3" s="1"/>
      <c r="P3" s="1"/>
      <c r="Q3" s="1"/>
      <c r="R3" s="1"/>
      <c r="S3" s="1"/>
      <c r="T3" s="1"/>
      <c r="U3" s="60" t="s">
        <v>54</v>
      </c>
      <c r="V3" s="1"/>
      <c r="W3" s="1"/>
      <c r="X3" s="1"/>
      <c r="Y3" s="1"/>
      <c r="Z3" s="1"/>
      <c r="AA3" s="1"/>
      <c r="AB3" s="1"/>
      <c r="AC3" s="1"/>
      <c r="AD3" s="1"/>
      <c r="AE3" s="1"/>
    </row>
    <row r="4">
      <c r="A4" s="37" t="s">
        <v>23</v>
      </c>
      <c r="B4" s="61" t="s">
        <v>2</v>
      </c>
      <c r="C4" s="61" t="s">
        <v>3</v>
      </c>
      <c r="D4" s="61" t="s">
        <v>4</v>
      </c>
      <c r="E4" s="62" t="s">
        <v>5</v>
      </c>
      <c r="F4" s="1"/>
      <c r="G4" s="1"/>
      <c r="H4" s="63"/>
      <c r="I4" s="63"/>
      <c r="J4" s="63"/>
      <c r="K4" s="61" t="s">
        <v>23</v>
      </c>
      <c r="L4" s="37" t="s">
        <v>2</v>
      </c>
      <c r="M4" s="37" t="s">
        <v>3</v>
      </c>
      <c r="N4" s="61" t="s">
        <v>4</v>
      </c>
      <c r="O4" s="61" t="s">
        <v>5</v>
      </c>
      <c r="P4" s="63"/>
      <c r="Q4" s="63"/>
      <c r="R4" s="1"/>
      <c r="S4" s="1"/>
      <c r="T4" s="1"/>
      <c r="U4" s="37" t="s">
        <v>23</v>
      </c>
      <c r="V4" s="37" t="s">
        <v>2</v>
      </c>
      <c r="W4" s="37" t="s">
        <v>3</v>
      </c>
      <c r="X4" s="37" t="s">
        <v>4</v>
      </c>
      <c r="Y4" s="37" t="s">
        <v>5</v>
      </c>
      <c r="Z4" s="1"/>
      <c r="AA4" s="1"/>
      <c r="AB4" s="1"/>
      <c r="AC4" s="1"/>
      <c r="AD4" s="1"/>
      <c r="AE4" s="1"/>
    </row>
    <row r="5">
      <c r="A5" s="8" t="s">
        <v>26</v>
      </c>
      <c r="B5" s="9">
        <v>2842.0</v>
      </c>
      <c r="C5" s="9">
        <v>3593.0</v>
      </c>
      <c r="D5" s="9">
        <v>1.8866045E7</v>
      </c>
      <c r="E5" s="64">
        <v>9389215.0</v>
      </c>
      <c r="F5" s="1"/>
      <c r="G5" s="1"/>
      <c r="H5" s="63"/>
      <c r="I5" s="63"/>
      <c r="J5" s="63"/>
      <c r="K5" s="65"/>
      <c r="L5" s="65"/>
      <c r="M5" s="65"/>
      <c r="N5" s="9">
        <v>0.0</v>
      </c>
      <c r="O5" s="9">
        <v>0.0</v>
      </c>
      <c r="P5" s="63"/>
      <c r="Q5" s="63"/>
      <c r="R5" s="1"/>
      <c r="S5" s="1"/>
      <c r="T5" s="1"/>
      <c r="U5" s="66"/>
      <c r="V5" s="65"/>
      <c r="W5" s="65"/>
      <c r="X5" s="9">
        <v>0.0</v>
      </c>
      <c r="Y5" s="9">
        <v>0.0</v>
      </c>
      <c r="Z5" s="1"/>
      <c r="AA5" s="1"/>
      <c r="AB5" s="1"/>
      <c r="AC5" s="1"/>
      <c r="AD5" s="1"/>
      <c r="AE5" s="1"/>
    </row>
    <row r="6">
      <c r="A6" s="8" t="s">
        <v>27</v>
      </c>
      <c r="B6" s="9">
        <v>529.0</v>
      </c>
      <c r="C6" s="9">
        <v>818.0</v>
      </c>
      <c r="D6" s="9">
        <v>4377010.0</v>
      </c>
      <c r="E6" s="64">
        <v>2173325.0</v>
      </c>
      <c r="F6" s="1"/>
      <c r="G6" s="1"/>
      <c r="H6" s="63"/>
      <c r="I6" s="63"/>
      <c r="J6" s="63"/>
      <c r="K6" s="9" t="s">
        <v>27</v>
      </c>
      <c r="L6" s="9">
        <v>6161.0</v>
      </c>
      <c r="M6" s="9">
        <v>7980.0</v>
      </c>
      <c r="N6" s="9">
        <v>5.0815985E7</v>
      </c>
      <c r="O6" s="9">
        <v>2.616405E7</v>
      </c>
      <c r="P6" s="63"/>
      <c r="Q6" s="63"/>
      <c r="R6" s="1"/>
      <c r="S6" s="1"/>
      <c r="T6" s="1"/>
      <c r="U6" s="66"/>
      <c r="V6" s="65"/>
      <c r="W6" s="65"/>
      <c r="X6" s="9">
        <v>0.0</v>
      </c>
      <c r="Y6" s="9">
        <v>0.0</v>
      </c>
      <c r="Z6" s="1"/>
      <c r="AA6" s="1"/>
      <c r="AB6" s="1"/>
      <c r="AC6" s="1"/>
      <c r="AD6" s="1"/>
      <c r="AE6" s="1"/>
    </row>
    <row r="7">
      <c r="A7" s="8" t="s">
        <v>28</v>
      </c>
      <c r="B7" s="9">
        <v>237.0</v>
      </c>
      <c r="C7" s="9">
        <v>325.0</v>
      </c>
      <c r="D7" s="9">
        <v>1908940.0</v>
      </c>
      <c r="E7" s="64">
        <v>942755.0</v>
      </c>
      <c r="F7" s="1"/>
      <c r="G7" s="1"/>
      <c r="H7" s="63"/>
      <c r="I7" s="63"/>
      <c r="J7" s="63"/>
      <c r="K7" s="9" t="s">
        <v>28</v>
      </c>
      <c r="L7" s="9">
        <v>619.0</v>
      </c>
      <c r="M7" s="9">
        <v>939.0</v>
      </c>
      <c r="N7" s="9">
        <v>5396435.0</v>
      </c>
      <c r="O7" s="9">
        <v>2596110.0</v>
      </c>
      <c r="P7" s="63"/>
      <c r="Q7" s="63"/>
      <c r="R7" s="1"/>
      <c r="S7" s="1"/>
      <c r="T7" s="1"/>
      <c r="U7" s="66"/>
      <c r="V7" s="65"/>
      <c r="W7" s="65"/>
      <c r="X7" s="9">
        <v>0.0</v>
      </c>
      <c r="Y7" s="9">
        <v>0.0</v>
      </c>
      <c r="Z7" s="1"/>
      <c r="AA7" s="1"/>
      <c r="AB7" s="1"/>
      <c r="AC7" s="1"/>
      <c r="AD7" s="1"/>
      <c r="AE7" s="1"/>
    </row>
    <row r="8">
      <c r="A8" s="8" t="s">
        <v>29</v>
      </c>
      <c r="B8" s="9">
        <v>318.0</v>
      </c>
      <c r="C8" s="9">
        <v>467.0</v>
      </c>
      <c r="D8" s="9">
        <v>2357300.0</v>
      </c>
      <c r="E8" s="64">
        <v>1154450.0</v>
      </c>
      <c r="F8" s="1"/>
      <c r="G8" s="1"/>
      <c r="H8" s="63"/>
      <c r="I8" s="63"/>
      <c r="J8" s="63"/>
      <c r="K8" s="9" t="s">
        <v>29</v>
      </c>
      <c r="L8" s="9">
        <v>546.0</v>
      </c>
      <c r="M8" s="9">
        <v>855.0</v>
      </c>
      <c r="N8" s="9">
        <v>4014505.0</v>
      </c>
      <c r="O8" s="9">
        <v>1990010.0</v>
      </c>
      <c r="P8" s="63"/>
      <c r="Q8" s="63"/>
      <c r="R8" s="1"/>
      <c r="S8" s="1"/>
      <c r="T8" s="1"/>
      <c r="U8" s="66"/>
      <c r="V8" s="65"/>
      <c r="W8" s="65"/>
      <c r="X8" s="9">
        <v>0.0</v>
      </c>
      <c r="Y8" s="9">
        <v>0.0</v>
      </c>
      <c r="Z8" s="1"/>
      <c r="AA8" s="1"/>
      <c r="AB8" s="1"/>
      <c r="AC8" s="1"/>
      <c r="AD8" s="1"/>
      <c r="AE8" s="1"/>
    </row>
    <row r="9">
      <c r="A9" s="8" t="s">
        <v>30</v>
      </c>
      <c r="B9" s="9">
        <v>317.0</v>
      </c>
      <c r="C9" s="9">
        <v>468.0</v>
      </c>
      <c r="D9" s="9">
        <v>2213530.0</v>
      </c>
      <c r="E9" s="64">
        <v>1063370.0</v>
      </c>
      <c r="F9" s="1"/>
      <c r="G9" s="1"/>
      <c r="H9" s="63"/>
      <c r="I9" s="63"/>
      <c r="J9" s="63"/>
      <c r="K9" s="9" t="s">
        <v>30</v>
      </c>
      <c r="L9" s="9">
        <v>451.0</v>
      </c>
      <c r="M9" s="9">
        <v>696.0</v>
      </c>
      <c r="N9" s="9">
        <v>3515930.0</v>
      </c>
      <c r="O9" s="9">
        <v>1742015.0</v>
      </c>
      <c r="P9" s="63"/>
      <c r="Q9" s="63"/>
      <c r="R9" s="1"/>
      <c r="S9" s="1"/>
      <c r="T9" s="1"/>
      <c r="U9" s="66"/>
      <c r="V9" s="65"/>
      <c r="W9" s="65"/>
      <c r="X9" s="9">
        <v>0.0</v>
      </c>
      <c r="Y9" s="9">
        <v>0.0</v>
      </c>
      <c r="Z9" s="1"/>
      <c r="AA9" s="1"/>
      <c r="AB9" s="1"/>
      <c r="AC9" s="1"/>
      <c r="AD9" s="1"/>
      <c r="AE9" s="1"/>
    </row>
    <row r="10">
      <c r="A10" s="8" t="s">
        <v>31</v>
      </c>
      <c r="B10" s="9">
        <v>366.0</v>
      </c>
      <c r="C10" s="9">
        <v>615.0</v>
      </c>
      <c r="D10" s="9">
        <v>3017685.0</v>
      </c>
      <c r="E10" s="64">
        <v>1435610.0</v>
      </c>
      <c r="F10" s="1"/>
      <c r="G10" s="1"/>
      <c r="H10" s="63"/>
      <c r="I10" s="63"/>
      <c r="J10" s="63"/>
      <c r="K10" s="9" t="s">
        <v>31</v>
      </c>
      <c r="L10" s="9">
        <v>939.0</v>
      </c>
      <c r="M10" s="9">
        <v>1579.0</v>
      </c>
      <c r="N10" s="9">
        <v>8754185.0</v>
      </c>
      <c r="O10" s="9">
        <v>4264700.0</v>
      </c>
      <c r="P10" s="63"/>
      <c r="Q10" s="63"/>
      <c r="R10" s="1"/>
      <c r="S10" s="1"/>
      <c r="T10" s="1"/>
      <c r="U10" s="8" t="s">
        <v>31</v>
      </c>
      <c r="V10" s="9">
        <v>5881.0</v>
      </c>
      <c r="W10" s="9">
        <v>7651.0</v>
      </c>
      <c r="X10" s="9">
        <v>4.608989E7</v>
      </c>
      <c r="Y10" s="9">
        <v>2.257783E7</v>
      </c>
      <c r="Z10" s="1"/>
      <c r="AA10" s="1"/>
      <c r="AB10" s="1"/>
      <c r="AC10" s="1"/>
      <c r="AD10" s="1"/>
      <c r="AE10" s="1"/>
    </row>
    <row r="11">
      <c r="A11" s="8" t="s">
        <v>32</v>
      </c>
      <c r="B11" s="9">
        <v>234.0</v>
      </c>
      <c r="C11" s="9">
        <v>339.0</v>
      </c>
      <c r="D11" s="9">
        <v>1575365.0</v>
      </c>
      <c r="E11" s="64">
        <v>740795.0</v>
      </c>
      <c r="F11" s="1"/>
      <c r="G11" s="1"/>
      <c r="H11" s="63"/>
      <c r="I11" s="63"/>
      <c r="J11" s="63"/>
      <c r="K11" s="9" t="s">
        <v>32</v>
      </c>
      <c r="L11" s="9">
        <v>418.0</v>
      </c>
      <c r="M11" s="9">
        <v>687.0</v>
      </c>
      <c r="N11" s="9">
        <v>3430020.0</v>
      </c>
      <c r="O11" s="9">
        <v>1596375.0</v>
      </c>
      <c r="P11" s="63"/>
      <c r="Q11" s="63"/>
      <c r="R11" s="1"/>
      <c r="S11" s="1"/>
      <c r="T11" s="1"/>
      <c r="U11" s="8" t="s">
        <v>32</v>
      </c>
      <c r="V11" s="9">
        <v>690.0</v>
      </c>
      <c r="W11" s="9">
        <v>1011.0</v>
      </c>
      <c r="X11" s="9">
        <v>5531845.0</v>
      </c>
      <c r="Y11" s="9">
        <v>2540340.0</v>
      </c>
      <c r="Z11" s="1"/>
      <c r="AA11" s="1"/>
      <c r="AB11" s="1"/>
      <c r="AC11" s="1"/>
      <c r="AD11" s="1"/>
      <c r="AE11" s="1"/>
    </row>
    <row r="12">
      <c r="A12" s="8" t="s">
        <v>33</v>
      </c>
      <c r="B12" s="9">
        <v>254.0</v>
      </c>
      <c r="C12" s="9">
        <v>408.0</v>
      </c>
      <c r="D12" s="9">
        <v>1804770.0</v>
      </c>
      <c r="E12" s="64">
        <v>868560.0</v>
      </c>
      <c r="F12" s="1"/>
      <c r="G12" s="1"/>
      <c r="H12" s="63"/>
      <c r="I12" s="63"/>
      <c r="J12" s="63"/>
      <c r="K12" s="9" t="s">
        <v>33</v>
      </c>
      <c r="L12" s="9">
        <v>442.0</v>
      </c>
      <c r="M12" s="9">
        <v>738.0</v>
      </c>
      <c r="N12" s="9">
        <v>3375460.0</v>
      </c>
      <c r="O12" s="9">
        <v>1614635.0</v>
      </c>
      <c r="P12" s="63"/>
      <c r="Q12" s="63"/>
      <c r="R12" s="1"/>
      <c r="S12" s="1"/>
      <c r="T12" s="1"/>
      <c r="U12" s="8" t="s">
        <v>33</v>
      </c>
      <c r="V12" s="9">
        <v>473.0</v>
      </c>
      <c r="W12" s="9">
        <v>675.0</v>
      </c>
      <c r="X12" s="9">
        <v>3571370.0</v>
      </c>
      <c r="Y12" s="9">
        <v>1677170.0</v>
      </c>
      <c r="Z12" s="1"/>
      <c r="AA12" s="1"/>
      <c r="AB12" s="1"/>
      <c r="AC12" s="1"/>
      <c r="AD12" s="1"/>
      <c r="AE12" s="1"/>
    </row>
    <row r="13">
      <c r="A13" s="8" t="s">
        <v>34</v>
      </c>
      <c r="B13" s="9">
        <v>269.0</v>
      </c>
      <c r="C13" s="9">
        <v>385.0</v>
      </c>
      <c r="D13" s="9">
        <v>1582735.0</v>
      </c>
      <c r="E13" s="64">
        <v>742940.0</v>
      </c>
      <c r="F13" s="1"/>
      <c r="G13" s="1"/>
      <c r="H13" s="63"/>
      <c r="I13" s="63"/>
      <c r="J13" s="63"/>
      <c r="K13" s="9" t="s">
        <v>34</v>
      </c>
      <c r="L13" s="9">
        <v>430.0</v>
      </c>
      <c r="M13" s="9">
        <v>731.0</v>
      </c>
      <c r="N13" s="9">
        <v>3476385.0</v>
      </c>
      <c r="O13" s="9">
        <v>1640210.0</v>
      </c>
      <c r="P13" s="63"/>
      <c r="Q13" s="63"/>
      <c r="R13" s="1"/>
      <c r="S13" s="1"/>
      <c r="T13" s="1"/>
      <c r="U13" s="8" t="s">
        <v>34</v>
      </c>
      <c r="V13" s="9">
        <v>420.0</v>
      </c>
      <c r="W13" s="9">
        <v>601.0</v>
      </c>
      <c r="X13" s="9">
        <v>2838000.0</v>
      </c>
      <c r="Y13" s="9">
        <v>1371040.0</v>
      </c>
      <c r="Z13" s="1"/>
      <c r="AA13" s="1"/>
      <c r="AB13" s="1"/>
      <c r="AC13" s="1"/>
      <c r="AD13" s="1"/>
      <c r="AE13" s="1"/>
    </row>
    <row r="14">
      <c r="A14" s="8" t="s">
        <v>35</v>
      </c>
      <c r="B14" s="9">
        <v>358.0</v>
      </c>
      <c r="C14" s="9">
        <v>625.0</v>
      </c>
      <c r="D14" s="9">
        <v>3222065.0</v>
      </c>
      <c r="E14" s="64">
        <v>1519155.0</v>
      </c>
      <c r="F14" s="1"/>
      <c r="G14" s="1"/>
      <c r="H14" s="63"/>
      <c r="I14" s="63"/>
      <c r="J14" s="63"/>
      <c r="K14" s="9" t="s">
        <v>35</v>
      </c>
      <c r="L14" s="9">
        <v>885.0</v>
      </c>
      <c r="M14" s="9">
        <v>1542.0</v>
      </c>
      <c r="N14" s="9">
        <v>8510590.0</v>
      </c>
      <c r="O14" s="9">
        <v>4095850.0</v>
      </c>
      <c r="P14" s="63"/>
      <c r="Q14" s="63"/>
      <c r="R14" s="1"/>
      <c r="S14" s="1"/>
      <c r="T14" s="1"/>
      <c r="U14" s="8" t="s">
        <v>35</v>
      </c>
      <c r="V14" s="9">
        <v>999.0</v>
      </c>
      <c r="W14" s="9">
        <v>1660.0</v>
      </c>
      <c r="X14" s="9">
        <v>8927160.0</v>
      </c>
      <c r="Y14" s="9">
        <v>4306665.0</v>
      </c>
      <c r="Z14" s="1"/>
      <c r="AA14" s="1"/>
      <c r="AB14" s="1"/>
      <c r="AC14" s="1"/>
      <c r="AD14" s="1"/>
      <c r="AE14" s="1"/>
    </row>
    <row r="15">
      <c r="A15" s="8" t="s">
        <v>36</v>
      </c>
      <c r="B15" s="9">
        <v>220.0</v>
      </c>
      <c r="C15" s="9">
        <v>323.0</v>
      </c>
      <c r="D15" s="9">
        <v>1638945.0</v>
      </c>
      <c r="E15" s="64">
        <v>766755.0</v>
      </c>
      <c r="F15" s="1"/>
      <c r="G15" s="1"/>
      <c r="H15" s="63"/>
      <c r="I15" s="63"/>
      <c r="J15" s="63"/>
      <c r="K15" s="9" t="s">
        <v>36</v>
      </c>
      <c r="L15" s="9">
        <v>381.0</v>
      </c>
      <c r="M15" s="9">
        <v>625.0</v>
      </c>
      <c r="N15" s="9">
        <v>3439535.0</v>
      </c>
      <c r="O15" s="9">
        <v>1651705.0</v>
      </c>
      <c r="P15" s="63"/>
      <c r="Q15" s="63"/>
      <c r="R15" s="1"/>
      <c r="S15" s="1"/>
      <c r="T15" s="1"/>
      <c r="U15" s="8" t="s">
        <v>36</v>
      </c>
      <c r="V15" s="9">
        <v>387.0</v>
      </c>
      <c r="W15" s="9">
        <v>562.0</v>
      </c>
      <c r="X15" s="9">
        <v>3135275.0</v>
      </c>
      <c r="Y15" s="9">
        <v>1509805.0</v>
      </c>
      <c r="Z15" s="1"/>
      <c r="AA15" s="1"/>
      <c r="AB15" s="1"/>
      <c r="AC15" s="1"/>
      <c r="AD15" s="1"/>
      <c r="AE15" s="1"/>
    </row>
    <row r="16">
      <c r="A16" s="8" t="s">
        <v>37</v>
      </c>
      <c r="B16" s="9">
        <v>224.0</v>
      </c>
      <c r="C16" s="9">
        <v>338.0</v>
      </c>
      <c r="D16" s="9">
        <v>1742675.0</v>
      </c>
      <c r="E16" s="64">
        <v>828905.0</v>
      </c>
      <c r="F16" s="1"/>
      <c r="G16" s="1"/>
      <c r="H16" s="63"/>
      <c r="I16" s="63"/>
      <c r="J16" s="63"/>
      <c r="K16" s="9" t="s">
        <v>37</v>
      </c>
      <c r="L16" s="9">
        <v>384.0</v>
      </c>
      <c r="M16" s="9">
        <v>654.0</v>
      </c>
      <c r="N16" s="9">
        <v>3467475.0</v>
      </c>
      <c r="O16" s="9">
        <v>1650495.0</v>
      </c>
      <c r="P16" s="63"/>
      <c r="Q16" s="63"/>
      <c r="R16" s="1"/>
      <c r="S16" s="1"/>
      <c r="T16" s="1"/>
      <c r="U16" s="8" t="s">
        <v>37</v>
      </c>
      <c r="V16" s="9">
        <v>343.0</v>
      </c>
      <c r="W16" s="9">
        <v>522.0</v>
      </c>
      <c r="X16" s="9">
        <v>2546775.0</v>
      </c>
      <c r="Y16" s="9">
        <v>1241075.0</v>
      </c>
      <c r="Z16" s="1"/>
      <c r="AA16" s="1"/>
      <c r="AB16" s="1"/>
      <c r="AC16" s="1"/>
      <c r="AD16" s="1"/>
      <c r="AE16" s="1"/>
    </row>
    <row r="17">
      <c r="A17" s="8" t="s">
        <v>38</v>
      </c>
      <c r="B17" s="9">
        <v>230.0</v>
      </c>
      <c r="C17" s="9">
        <v>349.0</v>
      </c>
      <c r="D17" s="9">
        <v>1446720.0</v>
      </c>
      <c r="E17" s="64">
        <v>692780.0</v>
      </c>
      <c r="F17" s="1"/>
      <c r="G17" s="1"/>
      <c r="H17" s="63"/>
      <c r="I17" s="63"/>
      <c r="J17" s="63"/>
      <c r="K17" s="9" t="s">
        <v>38</v>
      </c>
      <c r="L17" s="9">
        <v>351.0</v>
      </c>
      <c r="M17" s="9">
        <v>561.0</v>
      </c>
      <c r="N17" s="9">
        <v>2413840.0</v>
      </c>
      <c r="O17" s="9">
        <v>1158025.0</v>
      </c>
      <c r="P17" s="63"/>
      <c r="Q17" s="63"/>
      <c r="R17" s="1"/>
      <c r="S17" s="1"/>
      <c r="T17" s="1"/>
      <c r="U17" s="8" t="s">
        <v>38</v>
      </c>
      <c r="V17" s="9">
        <v>356.0</v>
      </c>
      <c r="W17" s="9">
        <v>518.0</v>
      </c>
      <c r="X17" s="9">
        <v>2251975.0</v>
      </c>
      <c r="Y17" s="9">
        <v>1074480.0</v>
      </c>
      <c r="Z17" s="1"/>
      <c r="AA17" s="1"/>
      <c r="AB17" s="1"/>
      <c r="AC17" s="1"/>
      <c r="AD17" s="1"/>
      <c r="AE17" s="1"/>
    </row>
    <row r="18">
      <c r="A18" s="38" t="s">
        <v>39</v>
      </c>
      <c r="B18" s="39">
        <v>311.0</v>
      </c>
      <c r="C18" s="39">
        <v>523.0</v>
      </c>
      <c r="D18" s="39">
        <v>2693735.0</v>
      </c>
      <c r="E18" s="67">
        <v>1293325.0</v>
      </c>
      <c r="F18" s="1"/>
      <c r="G18" s="1"/>
      <c r="H18" s="1"/>
      <c r="I18" s="28"/>
      <c r="J18" s="28"/>
      <c r="K18" s="67" t="s">
        <v>39</v>
      </c>
      <c r="L18" s="39">
        <v>743.0</v>
      </c>
      <c r="M18" s="39">
        <v>1364.0</v>
      </c>
      <c r="N18" s="39">
        <v>7542645.0</v>
      </c>
      <c r="O18" s="39">
        <v>3669875.0</v>
      </c>
      <c r="P18" s="28"/>
      <c r="Q18" s="28"/>
      <c r="R18" s="1"/>
      <c r="S18" s="1"/>
      <c r="T18" s="1"/>
      <c r="U18" s="38" t="s">
        <v>39</v>
      </c>
      <c r="V18" s="39">
        <v>778.0</v>
      </c>
      <c r="W18" s="39">
        <v>1300.0</v>
      </c>
      <c r="X18" s="39">
        <v>7285410.0</v>
      </c>
      <c r="Y18" s="39">
        <v>3469510.0</v>
      </c>
      <c r="Z18" s="1"/>
      <c r="AA18" s="1"/>
      <c r="AB18" s="1"/>
      <c r="AC18" s="1"/>
      <c r="AD18" s="1"/>
      <c r="AE18" s="1"/>
    </row>
    <row r="19">
      <c r="A19" s="1"/>
      <c r="B19" s="1"/>
      <c r="C19" s="1"/>
      <c r="D19" s="1"/>
      <c r="E19" s="28"/>
      <c r="F19" s="1"/>
      <c r="G19" s="1"/>
      <c r="H19" s="1"/>
      <c r="I19" s="1"/>
      <c r="J19" s="1"/>
      <c r="K19" s="1"/>
      <c r="L19" s="1"/>
      <c r="M19" s="1"/>
      <c r="N19" s="1"/>
      <c r="O19" s="1"/>
      <c r="P19" s="1"/>
      <c r="Q19" s="1"/>
      <c r="R19" s="1"/>
      <c r="S19" s="1"/>
      <c r="T19" s="1"/>
      <c r="U19" s="1"/>
      <c r="V19" s="1"/>
      <c r="W19" s="1"/>
      <c r="X19" s="1"/>
      <c r="Y19" s="1"/>
      <c r="Z19" s="1"/>
      <c r="AA19" s="1"/>
      <c r="AB19" s="1"/>
      <c r="AC19" s="1"/>
      <c r="AD19" s="1"/>
      <c r="AE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row>
    <row r="22">
      <c r="A22" s="68" t="s">
        <v>23</v>
      </c>
      <c r="B22" s="68" t="s">
        <v>2</v>
      </c>
      <c r="C22" s="68" t="s">
        <v>3</v>
      </c>
      <c r="D22" s="68" t="s">
        <v>4</v>
      </c>
      <c r="E22" s="68" t="s">
        <v>5</v>
      </c>
      <c r="F22" s="68" t="s">
        <v>40</v>
      </c>
      <c r="G22" s="68" t="s">
        <v>41</v>
      </c>
      <c r="H22" s="68" t="s">
        <v>42</v>
      </c>
      <c r="I22" s="68" t="s">
        <v>43</v>
      </c>
      <c r="J22" s="1"/>
      <c r="K22" s="68" t="s">
        <v>23</v>
      </c>
      <c r="L22" s="68" t="s">
        <v>2</v>
      </c>
      <c r="M22" s="68" t="s">
        <v>3</v>
      </c>
      <c r="N22" s="68" t="s">
        <v>4</v>
      </c>
      <c r="O22" s="68" t="s">
        <v>5</v>
      </c>
      <c r="P22" s="68" t="s">
        <v>40</v>
      </c>
      <c r="Q22" s="68" t="s">
        <v>41</v>
      </c>
      <c r="R22" s="68" t="s">
        <v>42</v>
      </c>
      <c r="S22" s="68" t="s">
        <v>43</v>
      </c>
      <c r="T22" s="1"/>
      <c r="U22" s="68" t="s">
        <v>23</v>
      </c>
      <c r="V22" s="68" t="s">
        <v>2</v>
      </c>
      <c r="W22" s="68" t="s">
        <v>3</v>
      </c>
      <c r="X22" s="68" t="s">
        <v>4</v>
      </c>
      <c r="Y22" s="68" t="s">
        <v>5</v>
      </c>
      <c r="Z22" s="68" t="s">
        <v>40</v>
      </c>
      <c r="AA22" s="68" t="s">
        <v>41</v>
      </c>
      <c r="AB22" s="68" t="s">
        <v>42</v>
      </c>
      <c r="AC22" s="68" t="s">
        <v>43</v>
      </c>
      <c r="AD22" s="1"/>
      <c r="AE22" s="1"/>
    </row>
    <row r="23">
      <c r="A23" s="47" t="str">
        <f t="shared" ref="A23:E23" si="1">A5</f>
        <v>2021Q3</v>
      </c>
      <c r="B23" s="49">
        <f t="shared" si="1"/>
        <v>2842</v>
      </c>
      <c r="C23" s="49">
        <f t="shared" si="1"/>
        <v>3593</v>
      </c>
      <c r="D23" s="49">
        <f t="shared" si="1"/>
        <v>18866045</v>
      </c>
      <c r="E23" s="49">
        <f t="shared" si="1"/>
        <v>9389215</v>
      </c>
      <c r="F23" s="50">
        <f t="shared" ref="F23:F36" si="4">B5/$B$5</f>
        <v>1</v>
      </c>
      <c r="G23" s="51">
        <f t="shared" ref="G23:G36" si="5">D5/B5</f>
        <v>6638.298733</v>
      </c>
      <c r="H23" s="52">
        <f t="shared" ref="H23:I23" si="2">C5/B5</f>
        <v>1.264250528</v>
      </c>
      <c r="I23" s="51">
        <f t="shared" si="2"/>
        <v>5250.777901</v>
      </c>
      <c r="J23" s="1"/>
      <c r="K23" s="1"/>
      <c r="L23" s="69"/>
      <c r="M23" s="70"/>
      <c r="N23" s="70"/>
      <c r="O23" s="70"/>
      <c r="P23" s="71"/>
      <c r="Q23" s="72"/>
      <c r="R23" s="72"/>
      <c r="S23" s="72"/>
      <c r="T23" s="1"/>
      <c r="U23" s="1"/>
      <c r="V23" s="69"/>
      <c r="W23" s="70"/>
      <c r="X23" s="70"/>
      <c r="Y23" s="70"/>
      <c r="Z23" s="71"/>
      <c r="AA23" s="72"/>
      <c r="AB23" s="72"/>
      <c r="AC23" s="72"/>
      <c r="AD23" s="1"/>
      <c r="AE23" s="1"/>
    </row>
    <row r="24">
      <c r="A24" s="47" t="str">
        <f t="shared" ref="A24:E24" si="3">A6</f>
        <v>2021Q4</v>
      </c>
      <c r="B24" s="49">
        <f t="shared" si="3"/>
        <v>529</v>
      </c>
      <c r="C24" s="49">
        <f t="shared" si="3"/>
        <v>818</v>
      </c>
      <c r="D24" s="49">
        <f t="shared" si="3"/>
        <v>4377010</v>
      </c>
      <c r="E24" s="49">
        <f t="shared" si="3"/>
        <v>2173325</v>
      </c>
      <c r="F24" s="50">
        <f t="shared" si="4"/>
        <v>0.1861365236</v>
      </c>
      <c r="G24" s="51">
        <f t="shared" si="5"/>
        <v>8274.120983</v>
      </c>
      <c r="H24" s="52">
        <f t="shared" ref="H24:I24" si="6">C6/B6</f>
        <v>1.5463138</v>
      </c>
      <c r="I24" s="51">
        <f t="shared" si="6"/>
        <v>5350.867971</v>
      </c>
      <c r="J24" s="1"/>
      <c r="K24" s="48" t="str">
        <f t="shared" ref="K24:O24" si="7">K6</f>
        <v>2021Q4</v>
      </c>
      <c r="L24" s="49">
        <f t="shared" si="7"/>
        <v>6161</v>
      </c>
      <c r="M24" s="49">
        <f t="shared" si="7"/>
        <v>7980</v>
      </c>
      <c r="N24" s="49">
        <f t="shared" si="7"/>
        <v>50815985</v>
      </c>
      <c r="O24" s="49">
        <f t="shared" si="7"/>
        <v>26164050</v>
      </c>
      <c r="P24" s="50">
        <f t="shared" ref="P24:P36" si="12">L6/$L$6</f>
        <v>1</v>
      </c>
      <c r="Q24" s="51">
        <f t="shared" ref="Q24:Q36" si="13">N6/L6</f>
        <v>8248.009252</v>
      </c>
      <c r="R24" s="52">
        <f t="shared" ref="R24:S24" si="8">M6/L6</f>
        <v>1.295244279</v>
      </c>
      <c r="S24" s="51">
        <f t="shared" si="8"/>
        <v>6367.91792</v>
      </c>
      <c r="T24" s="1"/>
      <c r="U24" s="1"/>
      <c r="V24" s="69"/>
      <c r="W24" s="70"/>
      <c r="X24" s="70"/>
      <c r="Y24" s="70"/>
      <c r="Z24" s="71"/>
      <c r="AA24" s="72"/>
      <c r="AB24" s="72"/>
      <c r="AC24" s="72"/>
      <c r="AD24" s="1"/>
      <c r="AE24" s="1"/>
    </row>
    <row r="25">
      <c r="A25" s="47" t="str">
        <f t="shared" ref="A25:E25" si="9">A7</f>
        <v>2022Q1</v>
      </c>
      <c r="B25" s="49">
        <f t="shared" si="9"/>
        <v>237</v>
      </c>
      <c r="C25" s="49">
        <f t="shared" si="9"/>
        <v>325</v>
      </c>
      <c r="D25" s="49">
        <f t="shared" si="9"/>
        <v>1908940</v>
      </c>
      <c r="E25" s="49">
        <f t="shared" si="9"/>
        <v>942755</v>
      </c>
      <c r="F25" s="50">
        <f t="shared" si="4"/>
        <v>0.08339197748</v>
      </c>
      <c r="G25" s="51">
        <f t="shared" si="5"/>
        <v>8054.599156</v>
      </c>
      <c r="H25" s="52">
        <f t="shared" ref="H25:I25" si="10">C7/B7</f>
        <v>1.371308017</v>
      </c>
      <c r="I25" s="51">
        <f t="shared" si="10"/>
        <v>5873.661538</v>
      </c>
      <c r="J25" s="1"/>
      <c r="K25" s="48" t="str">
        <f t="shared" ref="K25:O25" si="11">K7</f>
        <v>2022Q1</v>
      </c>
      <c r="L25" s="49">
        <f t="shared" si="11"/>
        <v>619</v>
      </c>
      <c r="M25" s="49">
        <f t="shared" si="11"/>
        <v>939</v>
      </c>
      <c r="N25" s="49">
        <f t="shared" si="11"/>
        <v>5396435</v>
      </c>
      <c r="O25" s="49">
        <f t="shared" si="11"/>
        <v>2596110</v>
      </c>
      <c r="P25" s="50">
        <f t="shared" si="12"/>
        <v>0.1004707028</v>
      </c>
      <c r="Q25" s="51">
        <f t="shared" si="13"/>
        <v>8717.988691</v>
      </c>
      <c r="R25" s="52">
        <f t="shared" ref="R25:S25" si="14">M7/L7</f>
        <v>1.516962843</v>
      </c>
      <c r="S25" s="51">
        <f t="shared" si="14"/>
        <v>5747.00213</v>
      </c>
      <c r="T25" s="1"/>
      <c r="U25" s="1"/>
      <c r="V25" s="69"/>
      <c r="W25" s="70"/>
      <c r="X25" s="70"/>
      <c r="Y25" s="70"/>
      <c r="Z25" s="71"/>
      <c r="AA25" s="72"/>
      <c r="AB25" s="72"/>
      <c r="AC25" s="72"/>
      <c r="AD25" s="1"/>
      <c r="AE25" s="1"/>
    </row>
    <row r="26">
      <c r="A26" s="47" t="str">
        <f t="shared" ref="A26:E26" si="15">A8</f>
        <v>2022Q2</v>
      </c>
      <c r="B26" s="49">
        <f t="shared" si="15"/>
        <v>318</v>
      </c>
      <c r="C26" s="49">
        <f t="shared" si="15"/>
        <v>467</v>
      </c>
      <c r="D26" s="49">
        <f t="shared" si="15"/>
        <v>2357300</v>
      </c>
      <c r="E26" s="49">
        <f t="shared" si="15"/>
        <v>1154450</v>
      </c>
      <c r="F26" s="50">
        <f t="shared" si="4"/>
        <v>0.1118930331</v>
      </c>
      <c r="G26" s="51">
        <f t="shared" si="5"/>
        <v>7412.893082</v>
      </c>
      <c r="H26" s="52">
        <f t="shared" ref="H26:I26" si="16">C8/B8</f>
        <v>1.468553459</v>
      </c>
      <c r="I26" s="51">
        <f t="shared" si="16"/>
        <v>5047.751606</v>
      </c>
      <c r="J26" s="1"/>
      <c r="K26" s="48" t="str">
        <f t="shared" ref="K26:O26" si="17">K8</f>
        <v>2022Q2</v>
      </c>
      <c r="L26" s="49">
        <f t="shared" si="17"/>
        <v>546</v>
      </c>
      <c r="M26" s="49">
        <f t="shared" si="17"/>
        <v>855</v>
      </c>
      <c r="N26" s="49">
        <f t="shared" si="17"/>
        <v>4014505</v>
      </c>
      <c r="O26" s="49">
        <f t="shared" si="17"/>
        <v>1990010</v>
      </c>
      <c r="P26" s="50">
        <f t="shared" si="12"/>
        <v>0.08862197695</v>
      </c>
      <c r="Q26" s="51">
        <f t="shared" si="13"/>
        <v>7352.57326</v>
      </c>
      <c r="R26" s="52">
        <f t="shared" ref="R26:S26" si="18">M8/L8</f>
        <v>1.565934066</v>
      </c>
      <c r="S26" s="51">
        <f t="shared" si="18"/>
        <v>4695.327485</v>
      </c>
      <c r="T26" s="1"/>
      <c r="U26" s="1"/>
      <c r="V26" s="69"/>
      <c r="W26" s="70"/>
      <c r="X26" s="70"/>
      <c r="Y26" s="70"/>
      <c r="Z26" s="71"/>
      <c r="AA26" s="72"/>
      <c r="AB26" s="72"/>
      <c r="AC26" s="72"/>
      <c r="AD26" s="1"/>
      <c r="AE26" s="1"/>
    </row>
    <row r="27">
      <c r="A27" s="47" t="str">
        <f t="shared" ref="A27:E27" si="19">A9</f>
        <v>2022Q3</v>
      </c>
      <c r="B27" s="49">
        <f t="shared" si="19"/>
        <v>317</v>
      </c>
      <c r="C27" s="49">
        <f t="shared" si="19"/>
        <v>468</v>
      </c>
      <c r="D27" s="49">
        <f t="shared" si="19"/>
        <v>2213530</v>
      </c>
      <c r="E27" s="49">
        <f t="shared" si="19"/>
        <v>1063370</v>
      </c>
      <c r="F27" s="50">
        <f t="shared" si="4"/>
        <v>0.1115411682</v>
      </c>
      <c r="G27" s="51">
        <f t="shared" si="5"/>
        <v>6982.744479</v>
      </c>
      <c r="H27" s="52">
        <f t="shared" ref="H27:I27" si="20">C9/B9</f>
        <v>1.476340694</v>
      </c>
      <c r="I27" s="51">
        <f t="shared" si="20"/>
        <v>4729.764957</v>
      </c>
      <c r="J27" s="1"/>
      <c r="K27" s="48" t="str">
        <f t="shared" ref="K27:O27" si="21">K9</f>
        <v>2022Q3</v>
      </c>
      <c r="L27" s="49">
        <f t="shared" si="21"/>
        <v>451</v>
      </c>
      <c r="M27" s="49">
        <f t="shared" si="21"/>
        <v>696</v>
      </c>
      <c r="N27" s="49">
        <f t="shared" si="21"/>
        <v>3515930</v>
      </c>
      <c r="O27" s="49">
        <f t="shared" si="21"/>
        <v>1742015</v>
      </c>
      <c r="P27" s="50">
        <f t="shared" si="12"/>
        <v>0.07320240221</v>
      </c>
      <c r="Q27" s="51">
        <f t="shared" si="13"/>
        <v>7795.853659</v>
      </c>
      <c r="R27" s="52">
        <f t="shared" ref="R27:S27" si="22">M9/L9</f>
        <v>1.543237251</v>
      </c>
      <c r="S27" s="51">
        <f t="shared" si="22"/>
        <v>5051.623563</v>
      </c>
      <c r="T27" s="1"/>
      <c r="U27" s="1"/>
      <c r="V27" s="69"/>
      <c r="W27" s="70"/>
      <c r="X27" s="70"/>
      <c r="Y27" s="70"/>
      <c r="Z27" s="71"/>
      <c r="AA27" s="72"/>
      <c r="AB27" s="72"/>
      <c r="AC27" s="72"/>
      <c r="AD27" s="1"/>
      <c r="AE27" s="1"/>
    </row>
    <row r="28">
      <c r="A28" s="47" t="str">
        <f t="shared" ref="A28:E28" si="23">A10</f>
        <v>2022Q4</v>
      </c>
      <c r="B28" s="49">
        <f t="shared" si="23"/>
        <v>366</v>
      </c>
      <c r="C28" s="49">
        <f t="shared" si="23"/>
        <v>615</v>
      </c>
      <c r="D28" s="49">
        <f t="shared" si="23"/>
        <v>3017685</v>
      </c>
      <c r="E28" s="49">
        <f t="shared" si="23"/>
        <v>1435610</v>
      </c>
      <c r="F28" s="50">
        <f t="shared" si="4"/>
        <v>0.1287825475</v>
      </c>
      <c r="G28" s="51">
        <f t="shared" si="5"/>
        <v>8245.040984</v>
      </c>
      <c r="H28" s="52">
        <f t="shared" ref="H28:I28" si="24">C10/B10</f>
        <v>1.680327869</v>
      </c>
      <c r="I28" s="51">
        <f t="shared" si="24"/>
        <v>4906.804878</v>
      </c>
      <c r="J28" s="1"/>
      <c r="K28" s="48" t="str">
        <f t="shared" ref="K28:O28" si="25">K10</f>
        <v>2022Q4</v>
      </c>
      <c r="L28" s="49">
        <f t="shared" si="25"/>
        <v>939</v>
      </c>
      <c r="M28" s="49">
        <f t="shared" si="25"/>
        <v>1579</v>
      </c>
      <c r="N28" s="49">
        <f t="shared" si="25"/>
        <v>8754185</v>
      </c>
      <c r="O28" s="49">
        <f t="shared" si="25"/>
        <v>4264700</v>
      </c>
      <c r="P28" s="50">
        <f t="shared" si="12"/>
        <v>0.152410323</v>
      </c>
      <c r="Q28" s="51">
        <f t="shared" si="13"/>
        <v>9322.880724</v>
      </c>
      <c r="R28" s="52">
        <f t="shared" ref="R28:S28" si="26">M10/L10</f>
        <v>1.681576145</v>
      </c>
      <c r="S28" s="51">
        <f t="shared" si="26"/>
        <v>5544.132362</v>
      </c>
      <c r="T28" s="1"/>
      <c r="U28" s="47" t="s">
        <v>31</v>
      </c>
      <c r="V28" s="49">
        <f t="shared" ref="V28:Y28" si="27">V10</f>
        <v>5881</v>
      </c>
      <c r="W28" s="49">
        <f t="shared" si="27"/>
        <v>7651</v>
      </c>
      <c r="X28" s="49">
        <f t="shared" si="27"/>
        <v>46089890</v>
      </c>
      <c r="Y28" s="49">
        <f t="shared" si="27"/>
        <v>22577830</v>
      </c>
      <c r="Z28" s="50">
        <f t="shared" ref="Z28:Z36" si="34">V10/$V$10</f>
        <v>1</v>
      </c>
      <c r="AA28" s="51">
        <f t="shared" ref="AA28:AA36" si="35">X10/V10</f>
        <v>7837.083829</v>
      </c>
      <c r="AB28" s="52">
        <f t="shared" ref="AB28:AC28" si="28">W10/V10</f>
        <v>1.300969223</v>
      </c>
      <c r="AC28" s="51">
        <f t="shared" si="28"/>
        <v>6024.034767</v>
      </c>
      <c r="AD28" s="1"/>
      <c r="AE28" s="1"/>
    </row>
    <row r="29">
      <c r="A29" s="47" t="str">
        <f t="shared" ref="A29:E29" si="29">A11</f>
        <v>2023Q1</v>
      </c>
      <c r="B29" s="49">
        <f t="shared" si="29"/>
        <v>234</v>
      </c>
      <c r="C29" s="49">
        <f t="shared" si="29"/>
        <v>339</v>
      </c>
      <c r="D29" s="49">
        <f t="shared" si="29"/>
        <v>1575365</v>
      </c>
      <c r="E29" s="49">
        <f t="shared" si="29"/>
        <v>740795</v>
      </c>
      <c r="F29" s="50">
        <f t="shared" si="4"/>
        <v>0.08233638283</v>
      </c>
      <c r="G29" s="51">
        <f t="shared" si="5"/>
        <v>6732.32906</v>
      </c>
      <c r="H29" s="52">
        <f t="shared" ref="H29:I29" si="30">C11/B11</f>
        <v>1.448717949</v>
      </c>
      <c r="I29" s="51">
        <f t="shared" si="30"/>
        <v>4647.094395</v>
      </c>
      <c r="J29" s="1"/>
      <c r="K29" s="48" t="str">
        <f t="shared" ref="K29:O29" si="31">K11</f>
        <v>2023Q1</v>
      </c>
      <c r="L29" s="49">
        <f t="shared" si="31"/>
        <v>418</v>
      </c>
      <c r="M29" s="49">
        <f t="shared" si="31"/>
        <v>687</v>
      </c>
      <c r="N29" s="49">
        <f t="shared" si="31"/>
        <v>3430020</v>
      </c>
      <c r="O29" s="49">
        <f t="shared" si="31"/>
        <v>1596375</v>
      </c>
      <c r="P29" s="50">
        <f t="shared" si="12"/>
        <v>0.06784612888</v>
      </c>
      <c r="Q29" s="51">
        <f t="shared" si="13"/>
        <v>8205.789474</v>
      </c>
      <c r="R29" s="52">
        <f t="shared" ref="R29:S29" si="32">M11/L11</f>
        <v>1.64354067</v>
      </c>
      <c r="S29" s="51">
        <f t="shared" si="32"/>
        <v>4992.751092</v>
      </c>
      <c r="T29" s="1"/>
      <c r="U29" s="47" t="str">
        <f t="shared" ref="U29:Y29" si="33">U11</f>
        <v>2023Q1</v>
      </c>
      <c r="V29" s="49">
        <f t="shared" si="33"/>
        <v>690</v>
      </c>
      <c r="W29" s="49">
        <f t="shared" si="33"/>
        <v>1011</v>
      </c>
      <c r="X29" s="49">
        <f t="shared" si="33"/>
        <v>5531845</v>
      </c>
      <c r="Y29" s="49">
        <f t="shared" si="33"/>
        <v>2540340</v>
      </c>
      <c r="Z29" s="50">
        <f t="shared" si="34"/>
        <v>0.1173269852</v>
      </c>
      <c r="AA29" s="51">
        <f t="shared" si="35"/>
        <v>8017.166667</v>
      </c>
      <c r="AB29" s="52">
        <f t="shared" ref="AB29:AC29" si="36">W11/V11</f>
        <v>1.465217391</v>
      </c>
      <c r="AC29" s="51">
        <f t="shared" si="36"/>
        <v>5471.656775</v>
      </c>
      <c r="AD29" s="1"/>
      <c r="AE29" s="1"/>
    </row>
    <row r="30">
      <c r="A30" s="47" t="str">
        <f t="shared" ref="A30:E30" si="37">A12</f>
        <v>2023Q2</v>
      </c>
      <c r="B30" s="49">
        <f t="shared" si="37"/>
        <v>254</v>
      </c>
      <c r="C30" s="49">
        <f t="shared" si="37"/>
        <v>408</v>
      </c>
      <c r="D30" s="49">
        <f t="shared" si="37"/>
        <v>1804770</v>
      </c>
      <c r="E30" s="49">
        <f t="shared" si="37"/>
        <v>868560</v>
      </c>
      <c r="F30" s="50">
        <f t="shared" si="4"/>
        <v>0.08937368051</v>
      </c>
      <c r="G30" s="51">
        <f t="shared" si="5"/>
        <v>7105.393701</v>
      </c>
      <c r="H30" s="52">
        <f t="shared" ref="H30:I30" si="38">C12/B12</f>
        <v>1.606299213</v>
      </c>
      <c r="I30" s="51">
        <f t="shared" si="38"/>
        <v>4423.455882</v>
      </c>
      <c r="J30" s="1"/>
      <c r="K30" s="48" t="str">
        <f t="shared" ref="K30:O30" si="39">K12</f>
        <v>2023Q2</v>
      </c>
      <c r="L30" s="49">
        <f t="shared" si="39"/>
        <v>442</v>
      </c>
      <c r="M30" s="49">
        <f t="shared" si="39"/>
        <v>738</v>
      </c>
      <c r="N30" s="49">
        <f t="shared" si="39"/>
        <v>3375460</v>
      </c>
      <c r="O30" s="49">
        <f t="shared" si="39"/>
        <v>1614635</v>
      </c>
      <c r="P30" s="50">
        <f t="shared" si="12"/>
        <v>0.07174160039</v>
      </c>
      <c r="Q30" s="51">
        <f t="shared" si="13"/>
        <v>7636.78733</v>
      </c>
      <c r="R30" s="52">
        <f t="shared" ref="R30:S30" si="40">M12/L12</f>
        <v>1.669683258</v>
      </c>
      <c r="S30" s="51">
        <f t="shared" si="40"/>
        <v>4573.794038</v>
      </c>
      <c r="T30" s="1"/>
      <c r="U30" s="47" t="str">
        <f t="shared" ref="U30:Y30" si="41">U12</f>
        <v>2023Q2</v>
      </c>
      <c r="V30" s="49">
        <f t="shared" si="41"/>
        <v>473</v>
      </c>
      <c r="W30" s="49">
        <f t="shared" si="41"/>
        <v>675</v>
      </c>
      <c r="X30" s="49">
        <f t="shared" si="41"/>
        <v>3571370</v>
      </c>
      <c r="Y30" s="49">
        <f t="shared" si="41"/>
        <v>1677170</v>
      </c>
      <c r="Z30" s="50">
        <f t="shared" si="34"/>
        <v>0.08042849855</v>
      </c>
      <c r="AA30" s="51">
        <f t="shared" si="35"/>
        <v>7550.465116</v>
      </c>
      <c r="AB30" s="52">
        <f t="shared" ref="AB30:AC30" si="42">W12/V12</f>
        <v>1.427061311</v>
      </c>
      <c r="AC30" s="51">
        <f t="shared" si="42"/>
        <v>5290.918519</v>
      </c>
      <c r="AD30" s="1"/>
      <c r="AE30" s="1"/>
    </row>
    <row r="31">
      <c r="A31" s="47" t="str">
        <f t="shared" ref="A31:E31" si="43">A13</f>
        <v>2023Q3</v>
      </c>
      <c r="B31" s="49">
        <f t="shared" si="43"/>
        <v>269</v>
      </c>
      <c r="C31" s="49">
        <f t="shared" si="43"/>
        <v>385</v>
      </c>
      <c r="D31" s="49">
        <f t="shared" si="43"/>
        <v>1582735</v>
      </c>
      <c r="E31" s="49">
        <f t="shared" si="43"/>
        <v>742940</v>
      </c>
      <c r="F31" s="50">
        <f t="shared" si="4"/>
        <v>0.09465165376</v>
      </c>
      <c r="G31" s="51">
        <f t="shared" si="5"/>
        <v>5883.773234</v>
      </c>
      <c r="H31" s="52">
        <f t="shared" ref="H31:I31" si="44">C13/B13</f>
        <v>1.431226766</v>
      </c>
      <c r="I31" s="51">
        <f t="shared" si="44"/>
        <v>4111</v>
      </c>
      <c r="J31" s="1"/>
      <c r="K31" s="48" t="str">
        <f t="shared" ref="K31:O31" si="45">K13</f>
        <v>2023Q3</v>
      </c>
      <c r="L31" s="49">
        <f t="shared" si="45"/>
        <v>430</v>
      </c>
      <c r="M31" s="49">
        <f t="shared" si="45"/>
        <v>731</v>
      </c>
      <c r="N31" s="49">
        <f t="shared" si="45"/>
        <v>3476385</v>
      </c>
      <c r="O31" s="49">
        <f t="shared" si="45"/>
        <v>1640210</v>
      </c>
      <c r="P31" s="50">
        <f t="shared" si="12"/>
        <v>0.06979386463</v>
      </c>
      <c r="Q31" s="51">
        <f t="shared" si="13"/>
        <v>8084.616279</v>
      </c>
      <c r="R31" s="52">
        <f t="shared" ref="R31:S31" si="46">M13/L13</f>
        <v>1.7</v>
      </c>
      <c r="S31" s="51">
        <f t="shared" si="46"/>
        <v>4755.656635</v>
      </c>
      <c r="T31" s="1"/>
      <c r="U31" s="47" t="str">
        <f t="shared" ref="U31:Y31" si="47">U13</f>
        <v>2023Q3</v>
      </c>
      <c r="V31" s="49">
        <f t="shared" si="47"/>
        <v>420</v>
      </c>
      <c r="W31" s="49">
        <f t="shared" si="47"/>
        <v>601</v>
      </c>
      <c r="X31" s="49">
        <f t="shared" si="47"/>
        <v>2838000</v>
      </c>
      <c r="Y31" s="49">
        <f t="shared" si="47"/>
        <v>1371040</v>
      </c>
      <c r="Z31" s="50">
        <f t="shared" si="34"/>
        <v>0.07141642578</v>
      </c>
      <c r="AA31" s="51">
        <f t="shared" si="35"/>
        <v>6757.142857</v>
      </c>
      <c r="AB31" s="52">
        <f t="shared" ref="AB31:AC31" si="48">W13/V13</f>
        <v>1.430952381</v>
      </c>
      <c r="AC31" s="51">
        <f t="shared" si="48"/>
        <v>4722.129784</v>
      </c>
      <c r="AD31" s="1"/>
      <c r="AE31" s="1"/>
    </row>
    <row r="32">
      <c r="A32" s="47" t="str">
        <f t="shared" ref="A32:E32" si="49">A14</f>
        <v>2023Q4</v>
      </c>
      <c r="B32" s="49">
        <f t="shared" si="49"/>
        <v>358</v>
      </c>
      <c r="C32" s="49">
        <f t="shared" si="49"/>
        <v>625</v>
      </c>
      <c r="D32" s="49">
        <f t="shared" si="49"/>
        <v>3222065</v>
      </c>
      <c r="E32" s="49">
        <f t="shared" si="49"/>
        <v>1519155</v>
      </c>
      <c r="F32" s="50">
        <f t="shared" si="4"/>
        <v>0.1259676284</v>
      </c>
      <c r="G32" s="51">
        <f t="shared" si="5"/>
        <v>9000.181564</v>
      </c>
      <c r="H32" s="52">
        <f t="shared" ref="H32:I32" si="50">C14/B14</f>
        <v>1.745810056</v>
      </c>
      <c r="I32" s="51">
        <f t="shared" si="50"/>
        <v>5155.304</v>
      </c>
      <c r="J32" s="1"/>
      <c r="K32" s="48" t="str">
        <f t="shared" ref="K32:O32" si="51">K14</f>
        <v>2023Q4</v>
      </c>
      <c r="L32" s="49">
        <f t="shared" si="51"/>
        <v>885</v>
      </c>
      <c r="M32" s="49">
        <f t="shared" si="51"/>
        <v>1542</v>
      </c>
      <c r="N32" s="49">
        <f t="shared" si="51"/>
        <v>8510590</v>
      </c>
      <c r="O32" s="49">
        <f t="shared" si="51"/>
        <v>4095850</v>
      </c>
      <c r="P32" s="50">
        <f t="shared" si="12"/>
        <v>0.1436455121</v>
      </c>
      <c r="Q32" s="51">
        <f t="shared" si="13"/>
        <v>9616.485876</v>
      </c>
      <c r="R32" s="52">
        <f t="shared" ref="R32:S32" si="52">M14/L14</f>
        <v>1.742372881</v>
      </c>
      <c r="S32" s="51">
        <f t="shared" si="52"/>
        <v>5519.189364</v>
      </c>
      <c r="T32" s="1"/>
      <c r="U32" s="47" t="str">
        <f t="shared" ref="U32:Y32" si="53">U14</f>
        <v>2023Q4</v>
      </c>
      <c r="V32" s="49">
        <f t="shared" si="53"/>
        <v>999</v>
      </c>
      <c r="W32" s="49">
        <f t="shared" si="53"/>
        <v>1660</v>
      </c>
      <c r="X32" s="49">
        <f t="shared" si="53"/>
        <v>8927160</v>
      </c>
      <c r="Y32" s="49">
        <f t="shared" si="53"/>
        <v>4306665</v>
      </c>
      <c r="Z32" s="50">
        <f t="shared" si="34"/>
        <v>0.1698690699</v>
      </c>
      <c r="AA32" s="51">
        <f t="shared" si="35"/>
        <v>8936.096096</v>
      </c>
      <c r="AB32" s="52">
        <f t="shared" ref="AB32:AC32" si="54">W14/V14</f>
        <v>1.661661662</v>
      </c>
      <c r="AC32" s="51">
        <f t="shared" si="54"/>
        <v>5377.807229</v>
      </c>
      <c r="AD32" s="1"/>
      <c r="AE32" s="1"/>
    </row>
    <row r="33">
      <c r="A33" s="47" t="str">
        <f t="shared" ref="A33:E33" si="55">A15</f>
        <v>2024Q1</v>
      </c>
      <c r="B33" s="49">
        <f t="shared" si="55"/>
        <v>220</v>
      </c>
      <c r="C33" s="49">
        <f t="shared" si="55"/>
        <v>323</v>
      </c>
      <c r="D33" s="49">
        <f t="shared" si="55"/>
        <v>1638945</v>
      </c>
      <c r="E33" s="49">
        <f t="shared" si="55"/>
        <v>766755</v>
      </c>
      <c r="F33" s="50">
        <f t="shared" si="4"/>
        <v>0.07741027445</v>
      </c>
      <c r="G33" s="51">
        <f t="shared" si="5"/>
        <v>7449.75</v>
      </c>
      <c r="H33" s="52">
        <f t="shared" ref="H33:I33" si="56">C15/B15</f>
        <v>1.468181818</v>
      </c>
      <c r="I33" s="51">
        <f t="shared" si="56"/>
        <v>5074.133127</v>
      </c>
      <c r="J33" s="1"/>
      <c r="K33" s="48" t="str">
        <f t="shared" ref="K33:O33" si="57">K15</f>
        <v>2024Q1</v>
      </c>
      <c r="L33" s="49">
        <f t="shared" si="57"/>
        <v>381</v>
      </c>
      <c r="M33" s="49">
        <f t="shared" si="57"/>
        <v>625</v>
      </c>
      <c r="N33" s="49">
        <f t="shared" si="57"/>
        <v>3439535</v>
      </c>
      <c r="O33" s="49">
        <f t="shared" si="57"/>
        <v>1651705</v>
      </c>
      <c r="P33" s="50">
        <f t="shared" si="12"/>
        <v>0.06184061029</v>
      </c>
      <c r="Q33" s="51">
        <f t="shared" si="13"/>
        <v>9027.650919</v>
      </c>
      <c r="R33" s="52">
        <f t="shared" ref="R33:S33" si="58">M15/L15</f>
        <v>1.640419948</v>
      </c>
      <c r="S33" s="51">
        <f t="shared" si="58"/>
        <v>5503.256</v>
      </c>
      <c r="T33" s="1"/>
      <c r="U33" s="47" t="str">
        <f t="shared" ref="U33:Y33" si="59">U15</f>
        <v>2024Q1</v>
      </c>
      <c r="V33" s="49">
        <f t="shared" si="59"/>
        <v>387</v>
      </c>
      <c r="W33" s="49">
        <f t="shared" si="59"/>
        <v>562</v>
      </c>
      <c r="X33" s="49">
        <f t="shared" si="59"/>
        <v>3135275</v>
      </c>
      <c r="Y33" s="49">
        <f t="shared" si="59"/>
        <v>1509805</v>
      </c>
      <c r="Z33" s="50">
        <f t="shared" si="34"/>
        <v>0.06580513518</v>
      </c>
      <c r="AA33" s="51">
        <f t="shared" si="35"/>
        <v>8101.485788</v>
      </c>
      <c r="AB33" s="52">
        <f t="shared" ref="AB33:AC33" si="60">W15/V15</f>
        <v>1.452196382</v>
      </c>
      <c r="AC33" s="51">
        <f t="shared" si="60"/>
        <v>5578.781139</v>
      </c>
      <c r="AD33" s="1"/>
      <c r="AE33" s="1"/>
    </row>
    <row r="34">
      <c r="A34" s="47" t="str">
        <f t="shared" ref="A34:E34" si="61">A16</f>
        <v>2024Q2</v>
      </c>
      <c r="B34" s="49">
        <f t="shared" si="61"/>
        <v>224</v>
      </c>
      <c r="C34" s="49">
        <f t="shared" si="61"/>
        <v>338</v>
      </c>
      <c r="D34" s="49">
        <f t="shared" si="61"/>
        <v>1742675</v>
      </c>
      <c r="E34" s="49">
        <f t="shared" si="61"/>
        <v>828905</v>
      </c>
      <c r="F34" s="50">
        <f t="shared" si="4"/>
        <v>0.07881773399</v>
      </c>
      <c r="G34" s="51">
        <f t="shared" si="5"/>
        <v>7779.799107</v>
      </c>
      <c r="H34" s="52">
        <f t="shared" ref="H34:I34" si="62">C16/B16</f>
        <v>1.508928571</v>
      </c>
      <c r="I34" s="51">
        <f t="shared" si="62"/>
        <v>5155.843195</v>
      </c>
      <c r="J34" s="1"/>
      <c r="K34" s="48" t="str">
        <f t="shared" ref="K34:O34" si="63">K16</f>
        <v>2024Q2</v>
      </c>
      <c r="L34" s="49">
        <f t="shared" si="63"/>
        <v>384</v>
      </c>
      <c r="M34" s="49">
        <f t="shared" si="63"/>
        <v>654</v>
      </c>
      <c r="N34" s="49">
        <f t="shared" si="63"/>
        <v>3467475</v>
      </c>
      <c r="O34" s="49">
        <f t="shared" si="63"/>
        <v>1650495</v>
      </c>
      <c r="P34" s="50">
        <f t="shared" si="12"/>
        <v>0.06232754423</v>
      </c>
      <c r="Q34" s="51">
        <f t="shared" si="13"/>
        <v>9029.882813</v>
      </c>
      <c r="R34" s="52">
        <f t="shared" ref="R34:S34" si="64">M16/L16</f>
        <v>1.703125</v>
      </c>
      <c r="S34" s="51">
        <f t="shared" si="64"/>
        <v>5301.949541</v>
      </c>
      <c r="T34" s="1"/>
      <c r="U34" s="47" t="str">
        <f t="shared" ref="U34:Y34" si="65">U16</f>
        <v>2024Q2</v>
      </c>
      <c r="V34" s="49">
        <f t="shared" si="65"/>
        <v>343</v>
      </c>
      <c r="W34" s="49">
        <f t="shared" si="65"/>
        <v>522</v>
      </c>
      <c r="X34" s="49">
        <f t="shared" si="65"/>
        <v>2546775</v>
      </c>
      <c r="Y34" s="49">
        <f t="shared" si="65"/>
        <v>1241075</v>
      </c>
      <c r="Z34" s="50">
        <f t="shared" si="34"/>
        <v>0.05832341439</v>
      </c>
      <c r="AA34" s="51">
        <f t="shared" si="35"/>
        <v>7425</v>
      </c>
      <c r="AB34" s="52">
        <f t="shared" ref="AB34:AC34" si="66">W16/V16</f>
        <v>1.521865889</v>
      </c>
      <c r="AC34" s="51">
        <f t="shared" si="66"/>
        <v>4878.87931</v>
      </c>
      <c r="AD34" s="1"/>
      <c r="AE34" s="1"/>
    </row>
    <row r="35">
      <c r="A35" s="73" t="s">
        <v>38</v>
      </c>
      <c r="B35" s="49">
        <f t="shared" ref="B35:E35" si="67">B17</f>
        <v>230</v>
      </c>
      <c r="C35" s="49">
        <f t="shared" si="67"/>
        <v>349</v>
      </c>
      <c r="D35" s="49">
        <f t="shared" si="67"/>
        <v>1446720</v>
      </c>
      <c r="E35" s="49">
        <f t="shared" si="67"/>
        <v>692780</v>
      </c>
      <c r="F35" s="50">
        <f t="shared" si="4"/>
        <v>0.08092892329</v>
      </c>
      <c r="G35" s="51">
        <f t="shared" si="5"/>
        <v>6290.086957</v>
      </c>
      <c r="H35" s="52">
        <f t="shared" ref="H35:I35" si="68">C17/B17</f>
        <v>1.517391304</v>
      </c>
      <c r="I35" s="51">
        <f t="shared" si="68"/>
        <v>4145.329513</v>
      </c>
      <c r="J35" s="1"/>
      <c r="K35" s="48" t="str">
        <f t="shared" ref="K35:O35" si="69">K17</f>
        <v>2024Q3</v>
      </c>
      <c r="L35" s="49">
        <f t="shared" si="69"/>
        <v>351</v>
      </c>
      <c r="M35" s="49">
        <f t="shared" si="69"/>
        <v>561</v>
      </c>
      <c r="N35" s="49">
        <f t="shared" si="69"/>
        <v>2413840</v>
      </c>
      <c r="O35" s="49">
        <f t="shared" si="69"/>
        <v>1158025</v>
      </c>
      <c r="P35" s="50">
        <f t="shared" si="12"/>
        <v>0.0569712709</v>
      </c>
      <c r="Q35" s="51">
        <f t="shared" si="13"/>
        <v>6877.037037</v>
      </c>
      <c r="R35" s="52">
        <f t="shared" ref="R35:S35" si="70">M17/L17</f>
        <v>1.598290598</v>
      </c>
      <c r="S35" s="51">
        <f t="shared" si="70"/>
        <v>4302.745098</v>
      </c>
      <c r="T35" s="1"/>
      <c r="U35" s="47" t="str">
        <f t="shared" ref="U35:Y35" si="71">U17</f>
        <v>2024Q3</v>
      </c>
      <c r="V35" s="49">
        <f t="shared" si="71"/>
        <v>356</v>
      </c>
      <c r="W35" s="49">
        <f t="shared" si="71"/>
        <v>518</v>
      </c>
      <c r="X35" s="49">
        <f t="shared" si="71"/>
        <v>2251975</v>
      </c>
      <c r="Y35" s="49">
        <f t="shared" si="71"/>
        <v>1074480</v>
      </c>
      <c r="Z35" s="50">
        <f t="shared" si="34"/>
        <v>0.0605339228</v>
      </c>
      <c r="AA35" s="51">
        <f t="shared" si="35"/>
        <v>6325.772472</v>
      </c>
      <c r="AB35" s="52">
        <f t="shared" ref="AB35:AC35" si="72">W17/V17</f>
        <v>1.45505618</v>
      </c>
      <c r="AC35" s="51">
        <f t="shared" si="72"/>
        <v>4347.442085</v>
      </c>
      <c r="AD35" s="1"/>
      <c r="AE35" s="1"/>
    </row>
    <row r="36">
      <c r="A36" s="53" t="str">
        <f t="shared" ref="A36:E36" si="73">A18</f>
        <v>2024Q4</v>
      </c>
      <c r="B36" s="55">
        <f t="shared" si="73"/>
        <v>311</v>
      </c>
      <c r="C36" s="55">
        <f t="shared" si="73"/>
        <v>523</v>
      </c>
      <c r="D36" s="55">
        <f t="shared" si="73"/>
        <v>2693735</v>
      </c>
      <c r="E36" s="55">
        <f t="shared" si="73"/>
        <v>1293325</v>
      </c>
      <c r="F36" s="56">
        <f t="shared" si="4"/>
        <v>0.1094299789</v>
      </c>
      <c r="G36" s="57">
        <f t="shared" si="5"/>
        <v>8661.527331</v>
      </c>
      <c r="H36" s="58">
        <f t="shared" ref="H36:I36" si="74">C18/B18</f>
        <v>1.681672026</v>
      </c>
      <c r="I36" s="57">
        <f t="shared" si="74"/>
        <v>5150.544933</v>
      </c>
      <c r="J36" s="1"/>
      <c r="K36" s="74" t="str">
        <f t="shared" ref="K36:O36" si="75">K18</f>
        <v>2024Q4</v>
      </c>
      <c r="L36" s="55">
        <f t="shared" si="75"/>
        <v>743</v>
      </c>
      <c r="M36" s="55">
        <f t="shared" si="75"/>
        <v>1364</v>
      </c>
      <c r="N36" s="55">
        <f t="shared" si="75"/>
        <v>7542645</v>
      </c>
      <c r="O36" s="55">
        <f t="shared" si="75"/>
        <v>3669875</v>
      </c>
      <c r="P36" s="56">
        <f t="shared" si="12"/>
        <v>0.1205973056</v>
      </c>
      <c r="Q36" s="57">
        <f t="shared" si="13"/>
        <v>10151.60834</v>
      </c>
      <c r="R36" s="58">
        <f t="shared" ref="R36:S36" si="76">M18/L18</f>
        <v>1.835800808</v>
      </c>
      <c r="S36" s="57">
        <f t="shared" si="76"/>
        <v>5529.798387</v>
      </c>
      <c r="T36" s="1"/>
      <c r="U36" s="53" t="str">
        <f t="shared" ref="U36:Y36" si="77">U18</f>
        <v>2024Q4</v>
      </c>
      <c r="V36" s="55">
        <f t="shared" si="77"/>
        <v>778</v>
      </c>
      <c r="W36" s="55">
        <f t="shared" si="77"/>
        <v>1300</v>
      </c>
      <c r="X36" s="55">
        <f t="shared" si="77"/>
        <v>7285410</v>
      </c>
      <c r="Y36" s="55">
        <f t="shared" si="77"/>
        <v>3469510</v>
      </c>
      <c r="Z36" s="56">
        <f t="shared" si="34"/>
        <v>0.1322904268</v>
      </c>
      <c r="AA36" s="57">
        <f t="shared" si="35"/>
        <v>9364.280206</v>
      </c>
      <c r="AB36" s="58">
        <f t="shared" ref="AB36:AC36" si="78">W18/V18</f>
        <v>1.670951157</v>
      </c>
      <c r="AC36" s="57">
        <f t="shared" si="78"/>
        <v>5604.161538</v>
      </c>
      <c r="AD36" s="1"/>
      <c r="AE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41">
      <c r="A41" s="75" t="str">
        <f t="shared" ref="A41:A53" si="79">A22</f>
        <v>Quarter</v>
      </c>
      <c r="B41" s="47" t="s">
        <v>52</v>
      </c>
      <c r="C41" s="47" t="s">
        <v>53</v>
      </c>
      <c r="D41" s="47" t="s">
        <v>54</v>
      </c>
      <c r="E41" s="47" t="s">
        <v>52</v>
      </c>
      <c r="F41" s="47" t="s">
        <v>53</v>
      </c>
      <c r="G41" s="47" t="s">
        <v>54</v>
      </c>
      <c r="H41" s="47" t="s">
        <v>52</v>
      </c>
      <c r="I41" s="47" t="s">
        <v>53</v>
      </c>
      <c r="J41" s="47" t="s">
        <v>54</v>
      </c>
    </row>
    <row r="42">
      <c r="A42" s="75" t="str">
        <f t="shared" si="79"/>
        <v>2021Q3</v>
      </c>
      <c r="B42" s="50">
        <f t="shared" ref="B42:B55" si="80">F23</f>
        <v>1</v>
      </c>
      <c r="C42" s="71"/>
      <c r="D42" s="71"/>
      <c r="E42" s="51">
        <f t="shared" ref="E42:E55" si="81">G23</f>
        <v>6638.298733</v>
      </c>
      <c r="F42" s="76"/>
      <c r="G42" s="76"/>
      <c r="H42" s="51">
        <f t="shared" ref="H42:H55" si="82">I23</f>
        <v>5250.777901</v>
      </c>
      <c r="I42" s="76"/>
      <c r="J42" s="76"/>
    </row>
    <row r="43">
      <c r="A43" s="75" t="str">
        <f t="shared" si="79"/>
        <v>2021Q4</v>
      </c>
      <c r="B43" s="50">
        <f t="shared" si="80"/>
        <v>0.1861365236</v>
      </c>
      <c r="C43" s="50">
        <f t="shared" ref="C43:C55" si="83">P24</f>
        <v>1</v>
      </c>
      <c r="D43" s="71"/>
      <c r="E43" s="51">
        <f t="shared" si="81"/>
        <v>8274.120983</v>
      </c>
      <c r="F43" s="51">
        <f t="shared" ref="F43:F55" si="84">Q24</f>
        <v>8248.009252</v>
      </c>
      <c r="G43" s="76"/>
      <c r="H43" s="51">
        <f t="shared" si="82"/>
        <v>5350.867971</v>
      </c>
      <c r="I43" s="51">
        <f t="shared" ref="I43:I55" si="85">S24</f>
        <v>6367.91792</v>
      </c>
      <c r="J43" s="76"/>
    </row>
    <row r="44">
      <c r="A44" s="75" t="str">
        <f t="shared" si="79"/>
        <v>2022Q1</v>
      </c>
      <c r="B44" s="50">
        <f t="shared" si="80"/>
        <v>0.08339197748</v>
      </c>
      <c r="C44" s="50">
        <f t="shared" si="83"/>
        <v>0.1004707028</v>
      </c>
      <c r="D44" s="71"/>
      <c r="E44" s="51">
        <f t="shared" si="81"/>
        <v>8054.599156</v>
      </c>
      <c r="F44" s="51">
        <f t="shared" si="84"/>
        <v>8717.988691</v>
      </c>
      <c r="G44" s="76"/>
      <c r="H44" s="51">
        <f t="shared" si="82"/>
        <v>5873.661538</v>
      </c>
      <c r="I44" s="51">
        <f t="shared" si="85"/>
        <v>5747.00213</v>
      </c>
      <c r="J44" s="76"/>
    </row>
    <row r="45">
      <c r="A45" s="75" t="str">
        <f t="shared" si="79"/>
        <v>2022Q2</v>
      </c>
      <c r="B45" s="50">
        <f t="shared" si="80"/>
        <v>0.1118930331</v>
      </c>
      <c r="C45" s="50">
        <f t="shared" si="83"/>
        <v>0.08862197695</v>
      </c>
      <c r="D45" s="71"/>
      <c r="E45" s="51">
        <f t="shared" si="81"/>
        <v>7412.893082</v>
      </c>
      <c r="F45" s="51">
        <f t="shared" si="84"/>
        <v>7352.57326</v>
      </c>
      <c r="G45" s="76"/>
      <c r="H45" s="51">
        <f t="shared" si="82"/>
        <v>5047.751606</v>
      </c>
      <c r="I45" s="51">
        <f t="shared" si="85"/>
        <v>4695.327485</v>
      </c>
      <c r="J45" s="76"/>
    </row>
    <row r="46">
      <c r="A46" s="75" t="str">
        <f t="shared" si="79"/>
        <v>2022Q3</v>
      </c>
      <c r="B46" s="50">
        <f t="shared" si="80"/>
        <v>0.1115411682</v>
      </c>
      <c r="C46" s="50">
        <f t="shared" si="83"/>
        <v>0.07320240221</v>
      </c>
      <c r="D46" s="71"/>
      <c r="E46" s="51">
        <f t="shared" si="81"/>
        <v>6982.744479</v>
      </c>
      <c r="F46" s="51">
        <f t="shared" si="84"/>
        <v>7795.853659</v>
      </c>
      <c r="G46" s="76"/>
      <c r="H46" s="51">
        <f t="shared" si="82"/>
        <v>4729.764957</v>
      </c>
      <c r="I46" s="51">
        <f t="shared" si="85"/>
        <v>5051.623563</v>
      </c>
      <c r="J46" s="76"/>
    </row>
    <row r="47">
      <c r="A47" s="75" t="str">
        <f t="shared" si="79"/>
        <v>2022Q4</v>
      </c>
      <c r="B47" s="50">
        <f t="shared" si="80"/>
        <v>0.1287825475</v>
      </c>
      <c r="C47" s="50">
        <f t="shared" si="83"/>
        <v>0.152410323</v>
      </c>
      <c r="D47" s="50">
        <f t="shared" ref="D47:D55" si="86">Z28</f>
        <v>1</v>
      </c>
      <c r="E47" s="51">
        <f t="shared" si="81"/>
        <v>8245.040984</v>
      </c>
      <c r="F47" s="51">
        <f t="shared" si="84"/>
        <v>9322.880724</v>
      </c>
      <c r="G47" s="51">
        <f t="shared" ref="G47:G55" si="87">AA28</f>
        <v>7837.083829</v>
      </c>
      <c r="H47" s="51">
        <f t="shared" si="82"/>
        <v>4906.804878</v>
      </c>
      <c r="I47" s="51">
        <f t="shared" si="85"/>
        <v>5544.132362</v>
      </c>
      <c r="J47" s="51">
        <f t="shared" ref="J47:J55" si="88">AC28</f>
        <v>6024.034767</v>
      </c>
    </row>
    <row r="48">
      <c r="A48" s="75" t="str">
        <f t="shared" si="79"/>
        <v>2023Q1</v>
      </c>
      <c r="B48" s="50">
        <f t="shared" si="80"/>
        <v>0.08233638283</v>
      </c>
      <c r="C48" s="50">
        <f t="shared" si="83"/>
        <v>0.06784612888</v>
      </c>
      <c r="D48" s="50">
        <f t="shared" si="86"/>
        <v>0.1173269852</v>
      </c>
      <c r="E48" s="51">
        <f t="shared" si="81"/>
        <v>6732.32906</v>
      </c>
      <c r="F48" s="51">
        <f t="shared" si="84"/>
        <v>8205.789474</v>
      </c>
      <c r="G48" s="51">
        <f t="shared" si="87"/>
        <v>8017.166667</v>
      </c>
      <c r="H48" s="51">
        <f t="shared" si="82"/>
        <v>4647.094395</v>
      </c>
      <c r="I48" s="51">
        <f t="shared" si="85"/>
        <v>4992.751092</v>
      </c>
      <c r="J48" s="51">
        <f t="shared" si="88"/>
        <v>5471.656775</v>
      </c>
    </row>
    <row r="49">
      <c r="A49" s="75" t="str">
        <f t="shared" si="79"/>
        <v>2023Q2</v>
      </c>
      <c r="B49" s="50">
        <f t="shared" si="80"/>
        <v>0.08937368051</v>
      </c>
      <c r="C49" s="50">
        <f t="shared" si="83"/>
        <v>0.07174160039</v>
      </c>
      <c r="D49" s="50">
        <f t="shared" si="86"/>
        <v>0.08042849855</v>
      </c>
      <c r="E49" s="51">
        <f t="shared" si="81"/>
        <v>7105.393701</v>
      </c>
      <c r="F49" s="51">
        <f t="shared" si="84"/>
        <v>7636.78733</v>
      </c>
      <c r="G49" s="51">
        <f t="shared" si="87"/>
        <v>7550.465116</v>
      </c>
      <c r="H49" s="51">
        <f t="shared" si="82"/>
        <v>4423.455882</v>
      </c>
      <c r="I49" s="51">
        <f t="shared" si="85"/>
        <v>4573.794038</v>
      </c>
      <c r="J49" s="51">
        <f t="shared" si="88"/>
        <v>5290.918519</v>
      </c>
    </row>
    <row r="50">
      <c r="A50" s="75" t="str">
        <f t="shared" si="79"/>
        <v>2023Q3</v>
      </c>
      <c r="B50" s="50">
        <f t="shared" si="80"/>
        <v>0.09465165376</v>
      </c>
      <c r="C50" s="50">
        <f t="shared" si="83"/>
        <v>0.06979386463</v>
      </c>
      <c r="D50" s="50">
        <f t="shared" si="86"/>
        <v>0.07141642578</v>
      </c>
      <c r="E50" s="51">
        <f t="shared" si="81"/>
        <v>5883.773234</v>
      </c>
      <c r="F50" s="51">
        <f t="shared" si="84"/>
        <v>8084.616279</v>
      </c>
      <c r="G50" s="51">
        <f t="shared" si="87"/>
        <v>6757.142857</v>
      </c>
      <c r="H50" s="51">
        <f t="shared" si="82"/>
        <v>4111</v>
      </c>
      <c r="I50" s="51">
        <f t="shared" si="85"/>
        <v>4755.656635</v>
      </c>
      <c r="J50" s="51">
        <f t="shared" si="88"/>
        <v>4722.129784</v>
      </c>
    </row>
    <row r="51">
      <c r="A51" s="75" t="str">
        <f t="shared" si="79"/>
        <v>2023Q4</v>
      </c>
      <c r="B51" s="50">
        <f t="shared" si="80"/>
        <v>0.1259676284</v>
      </c>
      <c r="C51" s="50">
        <f t="shared" si="83"/>
        <v>0.1436455121</v>
      </c>
      <c r="D51" s="50">
        <f t="shared" si="86"/>
        <v>0.1698690699</v>
      </c>
      <c r="E51" s="51">
        <f t="shared" si="81"/>
        <v>9000.181564</v>
      </c>
      <c r="F51" s="51">
        <f t="shared" si="84"/>
        <v>9616.485876</v>
      </c>
      <c r="G51" s="51">
        <f t="shared" si="87"/>
        <v>8936.096096</v>
      </c>
      <c r="H51" s="51">
        <f t="shared" si="82"/>
        <v>5155.304</v>
      </c>
      <c r="I51" s="51">
        <f t="shared" si="85"/>
        <v>5519.189364</v>
      </c>
      <c r="J51" s="51">
        <f t="shared" si="88"/>
        <v>5377.807229</v>
      </c>
    </row>
    <row r="52">
      <c r="A52" s="75" t="str">
        <f t="shared" si="79"/>
        <v>2024Q1</v>
      </c>
      <c r="B52" s="50">
        <f t="shared" si="80"/>
        <v>0.07741027445</v>
      </c>
      <c r="C52" s="50">
        <f t="shared" si="83"/>
        <v>0.06184061029</v>
      </c>
      <c r="D52" s="50">
        <f t="shared" si="86"/>
        <v>0.06580513518</v>
      </c>
      <c r="E52" s="51">
        <f t="shared" si="81"/>
        <v>7449.75</v>
      </c>
      <c r="F52" s="51">
        <f t="shared" si="84"/>
        <v>9027.650919</v>
      </c>
      <c r="G52" s="51">
        <f t="shared" si="87"/>
        <v>8101.485788</v>
      </c>
      <c r="H52" s="51">
        <f t="shared" si="82"/>
        <v>5074.133127</v>
      </c>
      <c r="I52" s="51">
        <f t="shared" si="85"/>
        <v>5503.256</v>
      </c>
      <c r="J52" s="51">
        <f t="shared" si="88"/>
        <v>5578.781139</v>
      </c>
    </row>
    <row r="53">
      <c r="A53" s="75" t="str">
        <f t="shared" si="79"/>
        <v>2024Q2</v>
      </c>
      <c r="B53" s="50">
        <f t="shared" si="80"/>
        <v>0.07881773399</v>
      </c>
      <c r="C53" s="50">
        <f t="shared" si="83"/>
        <v>0.06232754423</v>
      </c>
      <c r="D53" s="50">
        <f t="shared" si="86"/>
        <v>0.05832341439</v>
      </c>
      <c r="E53" s="51">
        <f t="shared" si="81"/>
        <v>7779.799107</v>
      </c>
      <c r="F53" s="51">
        <f t="shared" si="84"/>
        <v>9029.882813</v>
      </c>
      <c r="G53" s="51">
        <f t="shared" si="87"/>
        <v>7425</v>
      </c>
      <c r="H53" s="51">
        <f t="shared" si="82"/>
        <v>5155.843195</v>
      </c>
      <c r="I53" s="51">
        <f t="shared" si="85"/>
        <v>5301.949541</v>
      </c>
      <c r="J53" s="51">
        <f t="shared" si="88"/>
        <v>4878.87931</v>
      </c>
    </row>
    <row r="54">
      <c r="A54" s="77" t="s">
        <v>38</v>
      </c>
      <c r="B54" s="50">
        <f t="shared" si="80"/>
        <v>0.08092892329</v>
      </c>
      <c r="C54" s="50">
        <f t="shared" si="83"/>
        <v>0.0569712709</v>
      </c>
      <c r="D54" s="50">
        <f t="shared" si="86"/>
        <v>0.0605339228</v>
      </c>
      <c r="E54" s="51">
        <f t="shared" si="81"/>
        <v>6290.086957</v>
      </c>
      <c r="F54" s="51">
        <f t="shared" si="84"/>
        <v>6877.037037</v>
      </c>
      <c r="G54" s="51">
        <f t="shared" si="87"/>
        <v>6325.772472</v>
      </c>
      <c r="H54" s="51">
        <f t="shared" si="82"/>
        <v>4145.329513</v>
      </c>
      <c r="I54" s="51">
        <f t="shared" si="85"/>
        <v>4302.745098</v>
      </c>
      <c r="J54" s="51">
        <f t="shared" si="88"/>
        <v>4347.442085</v>
      </c>
    </row>
    <row r="55">
      <c r="A55" s="75" t="str">
        <f>A36</f>
        <v>2024Q4</v>
      </c>
      <c r="B55" s="50">
        <f t="shared" si="80"/>
        <v>0.1094299789</v>
      </c>
      <c r="C55" s="50">
        <f t="shared" si="83"/>
        <v>0.1205973056</v>
      </c>
      <c r="D55" s="50">
        <f t="shared" si="86"/>
        <v>0.1322904268</v>
      </c>
      <c r="E55" s="51">
        <f t="shared" si="81"/>
        <v>8661.527331</v>
      </c>
      <c r="F55" s="51">
        <f t="shared" si="84"/>
        <v>10151.60834</v>
      </c>
      <c r="G55" s="51">
        <f t="shared" si="87"/>
        <v>9364.280206</v>
      </c>
      <c r="H55" s="51">
        <f t="shared" si="82"/>
        <v>5150.544933</v>
      </c>
      <c r="I55" s="51">
        <f t="shared" si="85"/>
        <v>5529.798387</v>
      </c>
      <c r="J55" s="51">
        <f t="shared" si="88"/>
        <v>5604.161538</v>
      </c>
    </row>
    <row r="80">
      <c r="A80" s="36" t="s">
        <v>55</v>
      </c>
      <c r="D80" s="36" t="s">
        <v>56</v>
      </c>
    </row>
    <row r="82">
      <c r="D82" s="36" t="s">
        <v>57</v>
      </c>
    </row>
    <row r="84">
      <c r="D84" s="36" t="s">
        <v>58</v>
      </c>
    </row>
    <row r="86">
      <c r="D86" s="36" t="s">
        <v>59</v>
      </c>
    </row>
    <row r="88">
      <c r="D88" s="36" t="s">
        <v>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78" t="s">
        <v>4</v>
      </c>
      <c r="B3" s="66"/>
      <c r="C3" s="66"/>
      <c r="D3" s="66"/>
      <c r="E3" s="66"/>
    </row>
    <row r="4">
      <c r="A4" s="66"/>
      <c r="B4" s="79">
        <v>2021.0</v>
      </c>
      <c r="C4" s="79">
        <v>2022.0</v>
      </c>
      <c r="D4" s="79">
        <v>2023.0</v>
      </c>
      <c r="E4" s="79">
        <v>2024.0</v>
      </c>
    </row>
    <row r="5">
      <c r="A5" s="8" t="s">
        <v>61</v>
      </c>
      <c r="B5" s="9">
        <v>7.5539904E7</v>
      </c>
      <c r="C5" s="9">
        <v>6.171330550000001E7</v>
      </c>
      <c r="D5" s="9">
        <v>5.75353625E7</v>
      </c>
      <c r="E5" s="9">
        <v>5.54779225E7</v>
      </c>
    </row>
    <row r="6">
      <c r="A6" s="8">
        <v>2021.0</v>
      </c>
      <c r="B6" s="9">
        <v>1.3186955649999999E8</v>
      </c>
      <c r="C6" s="9">
        <v>5.2597105E7</v>
      </c>
      <c r="D6" s="9">
        <v>4.5025838E7</v>
      </c>
      <c r="E6" s="9">
        <v>4.1006845E7</v>
      </c>
    </row>
    <row r="7">
      <c r="A7" s="8">
        <v>2022.0</v>
      </c>
      <c r="B7" s="9">
        <v>0.0</v>
      </c>
      <c r="C7" s="9">
        <v>1.061519525E8</v>
      </c>
      <c r="D7" s="9">
        <v>4.0414088E7</v>
      </c>
      <c r="E7" s="9">
        <v>3.1974173E7</v>
      </c>
    </row>
    <row r="8">
      <c r="A8" s="8">
        <v>2023.0</v>
      </c>
      <c r="B8" s="9">
        <v>0.0</v>
      </c>
      <c r="C8" s="9">
        <v>0.0</v>
      </c>
      <c r="D8" s="9">
        <v>1.2317463399999999E8</v>
      </c>
      <c r="E8" s="9">
        <v>4.4414436E7</v>
      </c>
    </row>
    <row r="9">
      <c r="A9" s="8">
        <v>2024.0</v>
      </c>
      <c r="B9" s="9">
        <v>0.0</v>
      </c>
      <c r="C9" s="9">
        <v>0.0</v>
      </c>
      <c r="D9" s="9">
        <v>0.0</v>
      </c>
      <c r="E9" s="9">
        <v>1.527273275E8</v>
      </c>
    </row>
    <row r="10">
      <c r="A10" s="66"/>
      <c r="B10" s="66"/>
      <c r="C10" s="66"/>
      <c r="D10" s="66"/>
      <c r="E10" s="66"/>
    </row>
    <row r="11">
      <c r="A11" s="78" t="s">
        <v>5</v>
      </c>
      <c r="B11" s="66"/>
      <c r="C11" s="66"/>
      <c r="D11" s="66"/>
      <c r="E11" s="66"/>
    </row>
    <row r="12">
      <c r="A12" s="66"/>
      <c r="B12" s="79">
        <v>2021.0</v>
      </c>
      <c r="C12" s="79">
        <v>2022.0</v>
      </c>
      <c r="D12" s="79">
        <v>2023.0</v>
      </c>
      <c r="E12" s="79">
        <v>2024.0</v>
      </c>
    </row>
    <row r="13">
      <c r="A13" s="8" t="s">
        <v>61</v>
      </c>
      <c r="B13" s="9">
        <v>3.74877415E7</v>
      </c>
      <c r="C13" s="9">
        <v>3.0335338E7</v>
      </c>
      <c r="D13" s="9">
        <v>2.74854745E7</v>
      </c>
      <c r="E13" s="9">
        <v>2.6831497E7</v>
      </c>
    </row>
    <row r="14">
      <c r="A14" s="8">
        <v>2021.0</v>
      </c>
      <c r="B14" s="9">
        <v>6.6061534E7</v>
      </c>
      <c r="C14" s="9">
        <v>2.5603149E7</v>
      </c>
      <c r="D14" s="9">
        <v>2.12661185E7</v>
      </c>
      <c r="E14" s="9">
        <v>1.9554051E7</v>
      </c>
    </row>
    <row r="15">
      <c r="A15" s="8">
        <v>2022.0</v>
      </c>
      <c r="B15" s="9">
        <v>0.0</v>
      </c>
      <c r="C15" s="9">
        <v>5.19678335E7</v>
      </c>
      <c r="D15" s="9">
        <v>1.9015788E7</v>
      </c>
      <c r="E15" s="9">
        <v>1.52587985E7</v>
      </c>
    </row>
    <row r="16">
      <c r="A16" s="8">
        <v>2023.0</v>
      </c>
      <c r="B16" s="9">
        <v>0.0</v>
      </c>
      <c r="C16" s="9">
        <v>0.0</v>
      </c>
      <c r="D16" s="9">
        <v>5.9071749E7</v>
      </c>
      <c r="E16" s="9">
        <v>2.09702955E7</v>
      </c>
    </row>
    <row r="17">
      <c r="A17" s="8">
        <v>2024.0</v>
      </c>
      <c r="B17" s="9">
        <v>0.0</v>
      </c>
      <c r="C17" s="9">
        <v>0.0</v>
      </c>
      <c r="D17" s="9">
        <v>0.0</v>
      </c>
      <c r="E17" s="9">
        <v>7.3401526E7</v>
      </c>
    </row>
    <row r="18">
      <c r="A18" s="66"/>
      <c r="B18" s="66"/>
      <c r="C18" s="66"/>
      <c r="D18" s="66"/>
      <c r="E18" s="66"/>
    </row>
    <row r="19">
      <c r="A19" s="78" t="s">
        <v>2</v>
      </c>
      <c r="B19" s="66"/>
      <c r="C19" s="66"/>
      <c r="D19" s="66"/>
      <c r="E19" s="66"/>
    </row>
    <row r="20">
      <c r="A20" s="66"/>
      <c r="B20" s="79">
        <v>2021.0</v>
      </c>
      <c r="C20" s="79">
        <v>2022.0</v>
      </c>
      <c r="D20" s="79">
        <v>2023.0</v>
      </c>
      <c r="E20" s="79">
        <v>2024.0</v>
      </c>
    </row>
    <row r="21">
      <c r="A21" s="8" t="s">
        <v>61</v>
      </c>
      <c r="B21" s="9">
        <v>5751.0</v>
      </c>
      <c r="C21" s="9">
        <v>4636.0</v>
      </c>
      <c r="D21" s="9">
        <v>4233.0</v>
      </c>
      <c r="E21" s="9">
        <v>3921.0</v>
      </c>
    </row>
    <row r="22">
      <c r="A22" s="8">
        <v>2021.0</v>
      </c>
      <c r="B22" s="9">
        <v>14915.0</v>
      </c>
      <c r="C22" s="9">
        <v>4107.0</v>
      </c>
      <c r="D22" s="9">
        <v>3491.0</v>
      </c>
      <c r="E22" s="9">
        <v>3075.0</v>
      </c>
    </row>
    <row r="23">
      <c r="A23" s="8">
        <v>2022.0</v>
      </c>
      <c r="B23" s="65"/>
      <c r="C23" s="9">
        <v>12720.0</v>
      </c>
      <c r="D23" s="9">
        <v>3389.0</v>
      </c>
      <c r="E23" s="9">
        <v>2686.0</v>
      </c>
    </row>
    <row r="24">
      <c r="A24" s="8">
        <v>2023.0</v>
      </c>
      <c r="B24" s="65"/>
      <c r="C24" s="65"/>
      <c r="D24" s="9">
        <v>15166.0</v>
      </c>
      <c r="E24" s="9">
        <v>3799.0</v>
      </c>
    </row>
    <row r="25">
      <c r="A25" s="8">
        <v>2024.0</v>
      </c>
      <c r="B25" s="65"/>
      <c r="C25" s="65"/>
      <c r="D25" s="65"/>
      <c r="E25" s="9">
        <v>18316.0</v>
      </c>
    </row>
    <row r="26">
      <c r="A26" s="66"/>
      <c r="B26" s="66"/>
      <c r="C26" s="66"/>
      <c r="D26" s="66"/>
      <c r="E26" s="66"/>
    </row>
    <row r="27">
      <c r="A27" s="78" t="s">
        <v>3</v>
      </c>
      <c r="B27" s="66"/>
      <c r="C27" s="66"/>
      <c r="D27" s="66"/>
      <c r="E27" s="66"/>
    </row>
    <row r="28">
      <c r="A28" s="66"/>
      <c r="B28" s="79">
        <v>2021.0</v>
      </c>
      <c r="C28" s="79">
        <v>2022.0</v>
      </c>
      <c r="D28" s="79">
        <v>2023.0</v>
      </c>
      <c r="E28" s="79">
        <v>2024.0</v>
      </c>
    </row>
    <row r="29">
      <c r="A29" s="8" t="s">
        <v>61</v>
      </c>
      <c r="B29" s="9">
        <v>13739.0</v>
      </c>
      <c r="C29" s="9">
        <v>11475.0</v>
      </c>
      <c r="D29" s="9">
        <v>11331.0</v>
      </c>
      <c r="E29" s="9">
        <v>10581.0</v>
      </c>
    </row>
    <row r="30">
      <c r="A30" s="8">
        <v>2021.0</v>
      </c>
      <c r="B30" s="9">
        <v>22911.0</v>
      </c>
      <c r="C30" s="9">
        <v>10035.0</v>
      </c>
      <c r="D30" s="9">
        <v>9346.0</v>
      </c>
      <c r="E30" s="9">
        <v>8197.0</v>
      </c>
    </row>
    <row r="31">
      <c r="A31" s="8">
        <v>2022.0</v>
      </c>
      <c r="B31" s="65"/>
      <c r="C31" s="9">
        <v>18640.0</v>
      </c>
      <c r="D31" s="9">
        <v>7992.0</v>
      </c>
      <c r="E31" s="9">
        <v>6336.0</v>
      </c>
    </row>
    <row r="32">
      <c r="A32" s="8">
        <v>2023.0</v>
      </c>
      <c r="B32" s="65"/>
      <c r="C32" s="65"/>
      <c r="D32" s="9">
        <v>22735.0</v>
      </c>
      <c r="E32" s="9">
        <v>9002.0</v>
      </c>
    </row>
    <row r="33">
      <c r="A33" s="8">
        <v>2024.0</v>
      </c>
      <c r="B33" s="65"/>
      <c r="C33" s="65"/>
      <c r="D33" s="65"/>
      <c r="E33" s="9">
        <v>27144.0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62</v>
      </c>
      <c r="E1" s="36" t="s">
        <v>63</v>
      </c>
    </row>
    <row r="3">
      <c r="E3" s="36" t="s">
        <v>64</v>
      </c>
    </row>
    <row r="5">
      <c r="E5" s="36" t="s">
        <v>65</v>
      </c>
    </row>
    <row r="7">
      <c r="E7" s="36" t="s">
        <v>66</v>
      </c>
    </row>
    <row r="9">
      <c r="E9" s="36" t="s">
        <v>67</v>
      </c>
    </row>
    <row r="13">
      <c r="A13" s="36" t="s">
        <v>68</v>
      </c>
    </row>
    <row r="15">
      <c r="A15" s="36" t="s">
        <v>69</v>
      </c>
    </row>
    <row r="17">
      <c r="A17" s="36" t="s">
        <v>70</v>
      </c>
    </row>
    <row r="19">
      <c r="A19" s="36" t="s">
        <v>71</v>
      </c>
    </row>
    <row r="20">
      <c r="A20" s="36" t="s">
        <v>72</v>
      </c>
    </row>
    <row r="22">
      <c r="A22" s="36" t="s">
        <v>73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74</v>
      </c>
    </row>
    <row r="3">
      <c r="A3" s="36" t="s">
        <v>75</v>
      </c>
    </row>
    <row r="5">
      <c r="A5" s="36" t="s">
        <v>76</v>
      </c>
    </row>
    <row r="7">
      <c r="A7" s="36" t="s">
        <v>77</v>
      </c>
    </row>
    <row r="9">
      <c r="A9" s="36" t="s">
        <v>78</v>
      </c>
    </row>
    <row r="11">
      <c r="A11" s="36" t="s">
        <v>79</v>
      </c>
    </row>
    <row r="13">
      <c r="A13" s="36" t="s">
        <v>80</v>
      </c>
    </row>
    <row r="15">
      <c r="A15" s="36" t="s">
        <v>81</v>
      </c>
    </row>
    <row r="17">
      <c r="A17" s="36" t="s">
        <v>82</v>
      </c>
    </row>
    <row r="19">
      <c r="A19" s="36" t="s">
        <v>83</v>
      </c>
    </row>
    <row r="21">
      <c r="A21" s="36" t="s">
        <v>62</v>
      </c>
    </row>
    <row r="23">
      <c r="A23" s="36" t="s">
        <v>84</v>
      </c>
    </row>
    <row r="25">
      <c r="A25" s="36" t="s">
        <v>85</v>
      </c>
    </row>
    <row r="27">
      <c r="A27" s="36" t="s">
        <v>86</v>
      </c>
    </row>
    <row r="29">
      <c r="A29" s="36" t="s">
        <v>87</v>
      </c>
    </row>
    <row r="30">
      <c r="A30" s="36" t="s">
        <v>88</v>
      </c>
    </row>
    <row r="31">
      <c r="A31" s="36" t="s">
        <v>89</v>
      </c>
    </row>
    <row r="33">
      <c r="A33" s="36" t="s">
        <v>90</v>
      </c>
    </row>
    <row r="35">
      <c r="A35" s="36" t="s">
        <v>91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92</v>
      </c>
      <c r="B1" s="1" t="s">
        <v>93</v>
      </c>
      <c r="L1" s="1" t="s">
        <v>94</v>
      </c>
      <c r="M1" s="1" t="s">
        <v>95</v>
      </c>
    </row>
    <row r="2">
      <c r="A2" s="1" t="s">
        <v>96</v>
      </c>
      <c r="B2" s="80">
        <v>156.0</v>
      </c>
      <c r="H2" s="81" t="s">
        <v>99</v>
      </c>
      <c r="I2" s="81">
        <v>8.0</v>
      </c>
      <c r="L2" s="80">
        <v>0.0</v>
      </c>
      <c r="M2" s="80">
        <v>0.0</v>
      </c>
    </row>
    <row r="3">
      <c r="A3" s="1" t="s">
        <v>100</v>
      </c>
      <c r="B3" s="80">
        <v>145.0</v>
      </c>
      <c r="H3" s="81" t="s">
        <v>101</v>
      </c>
      <c r="I3" s="81">
        <v>15.0</v>
      </c>
      <c r="L3" s="80">
        <v>99.0</v>
      </c>
      <c r="M3" s="80">
        <v>0.0</v>
      </c>
    </row>
    <row r="4">
      <c r="A4" s="1" t="s">
        <v>102</v>
      </c>
      <c r="B4" s="80">
        <v>187.0</v>
      </c>
      <c r="H4" s="81" t="s">
        <v>103</v>
      </c>
      <c r="I4" s="81">
        <v>9.0</v>
      </c>
      <c r="L4" s="80">
        <f t="shared" ref="L4:L9" si="1">L3+100</f>
        <v>199</v>
      </c>
      <c r="M4" s="29">
        <f>M12</f>
        <v>0.1951219512</v>
      </c>
    </row>
    <row r="5">
      <c r="A5" s="1" t="s">
        <v>104</v>
      </c>
      <c r="B5" s="80">
        <v>135.0</v>
      </c>
      <c r="H5" s="81" t="s">
        <v>105</v>
      </c>
      <c r="I5" s="81">
        <v>5.0</v>
      </c>
      <c r="L5" s="80">
        <f t="shared" si="1"/>
        <v>299</v>
      </c>
      <c r="M5" s="29">
        <f t="shared" ref="M5:M9" si="2">M13+M4</f>
        <v>0.5609756098</v>
      </c>
    </row>
    <row r="6">
      <c r="A6" s="1" t="s">
        <v>106</v>
      </c>
      <c r="B6" s="80">
        <v>151.0</v>
      </c>
      <c r="H6" s="81" t="s">
        <v>107</v>
      </c>
      <c r="I6" s="81">
        <v>3.0</v>
      </c>
      <c r="L6" s="80">
        <f t="shared" si="1"/>
        <v>399</v>
      </c>
      <c r="M6" s="29">
        <f t="shared" si="2"/>
        <v>0.7804878049</v>
      </c>
    </row>
    <row r="7">
      <c r="A7" s="1" t="s">
        <v>108</v>
      </c>
      <c r="B7" s="80">
        <v>136.0</v>
      </c>
      <c r="H7" s="81" t="s">
        <v>109</v>
      </c>
      <c r="I7" s="81">
        <v>1.0</v>
      </c>
      <c r="L7" s="80">
        <f t="shared" si="1"/>
        <v>499</v>
      </c>
      <c r="M7" s="29">
        <f t="shared" si="2"/>
        <v>0.9024390244</v>
      </c>
    </row>
    <row r="8">
      <c r="A8" s="1" t="s">
        <v>110</v>
      </c>
      <c r="B8" s="80">
        <v>141.0</v>
      </c>
      <c r="L8" s="80">
        <f t="shared" si="1"/>
        <v>599</v>
      </c>
      <c r="M8" s="29">
        <f t="shared" si="2"/>
        <v>0.9756097561</v>
      </c>
    </row>
    <row r="9">
      <c r="A9" s="1" t="s">
        <v>111</v>
      </c>
      <c r="B9" s="80">
        <v>167.0</v>
      </c>
      <c r="L9" s="80">
        <f t="shared" si="1"/>
        <v>699</v>
      </c>
      <c r="M9" s="29">
        <f t="shared" si="2"/>
        <v>1</v>
      </c>
    </row>
    <row r="10">
      <c r="A10" s="1" t="s">
        <v>113</v>
      </c>
      <c r="B10" s="80">
        <v>221.0</v>
      </c>
      <c r="L10" s="1"/>
      <c r="M10" s="1"/>
    </row>
    <row r="11">
      <c r="A11" s="1" t="s">
        <v>114</v>
      </c>
      <c r="B11" s="80">
        <v>276.0</v>
      </c>
      <c r="L11" s="1" t="s">
        <v>115</v>
      </c>
      <c r="M11" s="28" t="s">
        <v>116</v>
      </c>
    </row>
    <row r="12">
      <c r="A12" s="1" t="s">
        <v>117</v>
      </c>
      <c r="B12" s="80">
        <v>209.0</v>
      </c>
      <c r="L12" s="1" t="s">
        <v>99</v>
      </c>
      <c r="M12" s="29">
        <v>0.1951219512195122</v>
      </c>
    </row>
    <row r="13">
      <c r="A13" s="1" t="s">
        <v>118</v>
      </c>
      <c r="B13" s="80">
        <v>297.0</v>
      </c>
      <c r="L13" s="1" t="s">
        <v>101</v>
      </c>
      <c r="M13" s="29">
        <v>0.36585365853658536</v>
      </c>
      <c r="O13" s="1" t="s">
        <v>119</v>
      </c>
      <c r="P13" s="1" t="s">
        <v>120</v>
      </c>
    </row>
    <row r="14">
      <c r="A14" s="1" t="s">
        <v>121</v>
      </c>
      <c r="B14" s="80">
        <v>300.0</v>
      </c>
      <c r="L14" s="1" t="s">
        <v>103</v>
      </c>
      <c r="M14" s="29">
        <v>0.21951219512195122</v>
      </c>
      <c r="O14" s="80">
        <v>0.0</v>
      </c>
      <c r="P14" s="80">
        <v>0.0</v>
      </c>
    </row>
    <row r="15">
      <c r="A15" s="1" t="s">
        <v>122</v>
      </c>
      <c r="B15" s="80">
        <v>232.0</v>
      </c>
      <c r="L15" s="1" t="s">
        <v>105</v>
      </c>
      <c r="M15" s="29">
        <v>0.12195121951219512</v>
      </c>
      <c r="O15" s="80">
        <f>O16-50</f>
        <v>99.5</v>
      </c>
      <c r="P15" s="80">
        <v>0.0</v>
      </c>
    </row>
    <row r="16">
      <c r="A16" s="1" t="s">
        <v>123</v>
      </c>
      <c r="B16" s="80">
        <v>246.0</v>
      </c>
      <c r="L16" s="1" t="s">
        <v>107</v>
      </c>
      <c r="M16" s="29">
        <v>0.07317073170731707</v>
      </c>
      <c r="O16" s="80">
        <f>(199+100)/2</f>
        <v>149.5</v>
      </c>
      <c r="P16" s="83">
        <v>0.2</v>
      </c>
    </row>
    <row r="17">
      <c r="A17" s="1" t="s">
        <v>124</v>
      </c>
      <c r="B17" s="80">
        <v>296.0</v>
      </c>
      <c r="L17" s="1" t="s">
        <v>125</v>
      </c>
      <c r="M17" s="29">
        <v>0.024390243902439025</v>
      </c>
      <c r="O17" s="80">
        <f t="shared" ref="O17:O22" si="3">O16+100</f>
        <v>249.5</v>
      </c>
      <c r="P17" s="83">
        <v>0.37</v>
      </c>
    </row>
    <row r="18">
      <c r="A18" s="1" t="s">
        <v>126</v>
      </c>
      <c r="B18" s="80">
        <v>240.0</v>
      </c>
      <c r="L18" s="1"/>
      <c r="M18" s="29">
        <v>0.0</v>
      </c>
      <c r="O18" s="80">
        <f t="shared" si="3"/>
        <v>349.5</v>
      </c>
      <c r="P18" s="83">
        <v>0.22</v>
      </c>
    </row>
    <row r="19">
      <c r="A19" s="1" t="s">
        <v>127</v>
      </c>
      <c r="B19" s="80">
        <v>252.0</v>
      </c>
      <c r="L19" s="1" t="s">
        <v>128</v>
      </c>
      <c r="M19" s="29">
        <v>1.0</v>
      </c>
      <c r="O19" s="80">
        <f t="shared" si="3"/>
        <v>449.5</v>
      </c>
      <c r="P19" s="36">
        <v>0.12</v>
      </c>
    </row>
    <row r="20">
      <c r="A20" s="1" t="s">
        <v>129</v>
      </c>
      <c r="B20" s="80">
        <v>248.0</v>
      </c>
      <c r="O20" s="80">
        <f t="shared" si="3"/>
        <v>549.5</v>
      </c>
      <c r="P20" s="83">
        <v>0.07</v>
      </c>
    </row>
    <row r="21">
      <c r="A21" s="1" t="s">
        <v>130</v>
      </c>
      <c r="B21" s="80">
        <v>226.0</v>
      </c>
      <c r="O21" s="80">
        <f t="shared" si="3"/>
        <v>649.5</v>
      </c>
      <c r="P21" s="83">
        <v>0.02</v>
      </c>
    </row>
    <row r="22">
      <c r="A22" s="1" t="s">
        <v>131</v>
      </c>
      <c r="B22" s="80">
        <v>251.0</v>
      </c>
      <c r="L22" s="1"/>
      <c r="M22" s="1"/>
      <c r="O22" s="80">
        <f t="shared" si="3"/>
        <v>749.5</v>
      </c>
      <c r="P22" s="83">
        <v>0.0</v>
      </c>
    </row>
    <row r="23">
      <c r="A23" s="1" t="s">
        <v>132</v>
      </c>
      <c r="B23" s="80">
        <v>227.0</v>
      </c>
      <c r="L23" s="80"/>
      <c r="M23" s="80"/>
    </row>
    <row r="24">
      <c r="A24" s="1" t="s">
        <v>133</v>
      </c>
      <c r="B24" s="80">
        <v>277.0</v>
      </c>
      <c r="L24" s="80"/>
      <c r="M24" s="80"/>
    </row>
    <row r="25">
      <c r="A25" s="1" t="s">
        <v>134</v>
      </c>
      <c r="B25" s="80">
        <v>220.0</v>
      </c>
      <c r="L25" s="80"/>
      <c r="M25" s="29"/>
    </row>
    <row r="26">
      <c r="A26" s="1" t="s">
        <v>135</v>
      </c>
      <c r="B26" s="80">
        <v>341.0</v>
      </c>
      <c r="L26" s="80"/>
      <c r="M26" s="29"/>
    </row>
    <row r="27">
      <c r="A27" s="1" t="s">
        <v>136</v>
      </c>
      <c r="B27" s="80">
        <v>388.0</v>
      </c>
      <c r="L27" s="80"/>
      <c r="M27" s="29"/>
    </row>
    <row r="28">
      <c r="A28" s="1" t="s">
        <v>137</v>
      </c>
      <c r="B28" s="80">
        <v>391.0</v>
      </c>
      <c r="L28" s="80"/>
      <c r="M28" s="29"/>
    </row>
    <row r="29">
      <c r="A29" s="1" t="s">
        <v>138</v>
      </c>
      <c r="B29" s="80">
        <v>336.0</v>
      </c>
      <c r="L29" s="80"/>
      <c r="M29" s="29"/>
    </row>
    <row r="30">
      <c r="A30" s="1" t="s">
        <v>139</v>
      </c>
      <c r="B30" s="80">
        <v>378.0</v>
      </c>
      <c r="L30" s="80"/>
      <c r="M30" s="29"/>
    </row>
    <row r="31">
      <c r="A31" s="1" t="s">
        <v>140</v>
      </c>
      <c r="B31" s="80">
        <v>347.0</v>
      </c>
      <c r="L31" s="80"/>
      <c r="M31" s="29"/>
    </row>
    <row r="32">
      <c r="A32" s="1" t="s">
        <v>141</v>
      </c>
      <c r="B32" s="80">
        <v>303.0</v>
      </c>
    </row>
    <row r="33">
      <c r="A33" s="1" t="s">
        <v>142</v>
      </c>
      <c r="B33" s="80">
        <v>303.0</v>
      </c>
    </row>
    <row r="34">
      <c r="A34" s="1" t="s">
        <v>143</v>
      </c>
      <c r="B34" s="80">
        <v>448.0</v>
      </c>
    </row>
    <row r="35">
      <c r="A35" s="1" t="s">
        <v>144</v>
      </c>
      <c r="B35" s="80">
        <v>431.0</v>
      </c>
    </row>
    <row r="36">
      <c r="A36" s="1" t="s">
        <v>145</v>
      </c>
      <c r="B36" s="80">
        <v>483.0</v>
      </c>
    </row>
    <row r="37">
      <c r="A37" s="1" t="s">
        <v>146</v>
      </c>
      <c r="B37" s="80">
        <v>419.0</v>
      </c>
    </row>
    <row r="38">
      <c r="A38" s="1" t="s">
        <v>147</v>
      </c>
      <c r="B38" s="80">
        <v>487.0</v>
      </c>
    </row>
    <row r="39">
      <c r="A39" s="1" t="s">
        <v>148</v>
      </c>
      <c r="B39" s="80">
        <v>594.0</v>
      </c>
    </row>
    <row r="40">
      <c r="A40" s="1" t="s">
        <v>149</v>
      </c>
      <c r="B40" s="80">
        <v>532.0</v>
      </c>
    </row>
    <row r="41">
      <c r="A41" s="1" t="s">
        <v>150</v>
      </c>
      <c r="B41" s="80">
        <v>517.0</v>
      </c>
    </row>
    <row r="42">
      <c r="A42" s="1" t="s">
        <v>151</v>
      </c>
      <c r="B42" s="80">
        <v>628.0</v>
      </c>
    </row>
    <row r="43">
      <c r="A43" s="1"/>
      <c r="B43" s="1"/>
    </row>
    <row r="44">
      <c r="A44" s="1"/>
      <c r="B44" s="1"/>
    </row>
    <row r="45">
      <c r="A45" s="1"/>
      <c r="B45" s="1"/>
    </row>
    <row r="46">
      <c r="A46" s="1" t="s">
        <v>92</v>
      </c>
      <c r="B46" s="84" t="s">
        <v>152</v>
      </c>
    </row>
    <row r="47">
      <c r="A47" s="1" t="s">
        <v>96</v>
      </c>
      <c r="B47" s="85">
        <v>12.0</v>
      </c>
      <c r="E47" s="29">
        <f>max(B47:B66)</f>
        <v>33</v>
      </c>
    </row>
    <row r="48">
      <c r="A48" s="1" t="s">
        <v>100</v>
      </c>
      <c r="B48" s="29">
        <v>15.0</v>
      </c>
      <c r="E48" s="29">
        <f>MIN(B47:B66)</f>
        <v>12</v>
      </c>
    </row>
    <row r="49">
      <c r="A49" s="1" t="s">
        <v>102</v>
      </c>
      <c r="B49" s="29">
        <v>20.0</v>
      </c>
      <c r="E49" s="29">
        <f>E47-E48</f>
        <v>21</v>
      </c>
    </row>
    <row r="50">
      <c r="A50" s="1" t="s">
        <v>104</v>
      </c>
      <c r="B50" s="29">
        <v>22.0</v>
      </c>
      <c r="E50" s="80">
        <f>E49/5</f>
        <v>4.2</v>
      </c>
    </row>
    <row r="51">
      <c r="A51" s="1" t="s">
        <v>106</v>
      </c>
      <c r="B51" s="29">
        <v>14.0</v>
      </c>
    </row>
    <row r="52">
      <c r="A52" s="1" t="s">
        <v>108</v>
      </c>
      <c r="B52" s="29">
        <v>14.0</v>
      </c>
      <c r="G52" s="1" t="s">
        <v>155</v>
      </c>
    </row>
    <row r="53">
      <c r="A53" s="1" t="s">
        <v>110</v>
      </c>
      <c r="B53" s="29">
        <v>15.0</v>
      </c>
      <c r="G53" s="80">
        <v>4.0</v>
      </c>
    </row>
    <row r="54">
      <c r="A54" s="1" t="s">
        <v>111</v>
      </c>
      <c r="B54" s="29">
        <v>27.0</v>
      </c>
      <c r="G54" s="80">
        <f>G53+E54</f>
        <v>12</v>
      </c>
    </row>
    <row r="55">
      <c r="A55" s="1" t="s">
        <v>113</v>
      </c>
      <c r="B55" s="29">
        <v>21.0</v>
      </c>
      <c r="G55" s="80">
        <f t="shared" ref="G55:G57" si="4">E55+G54</f>
        <v>17</v>
      </c>
    </row>
    <row r="56">
      <c r="A56" s="1" t="s">
        <v>114</v>
      </c>
      <c r="B56" s="29">
        <v>18.0</v>
      </c>
      <c r="G56" s="80">
        <f t="shared" si="4"/>
        <v>19</v>
      </c>
    </row>
    <row r="57">
      <c r="A57" s="1" t="s">
        <v>117</v>
      </c>
      <c r="B57" s="29">
        <v>19.0</v>
      </c>
      <c r="G57" s="80">
        <f t="shared" si="4"/>
        <v>20</v>
      </c>
    </row>
    <row r="58">
      <c r="A58" s="1" t="s">
        <v>118</v>
      </c>
      <c r="B58" s="29">
        <v>18.0</v>
      </c>
    </row>
    <row r="59">
      <c r="A59" s="1" t="s">
        <v>121</v>
      </c>
      <c r="B59" s="29">
        <v>22.0</v>
      </c>
    </row>
    <row r="60">
      <c r="A60" s="1" t="s">
        <v>122</v>
      </c>
      <c r="B60" s="29">
        <v>33.0</v>
      </c>
    </row>
    <row r="61">
      <c r="A61" s="1" t="s">
        <v>123</v>
      </c>
      <c r="B61" s="29">
        <v>16.0</v>
      </c>
    </row>
    <row r="62">
      <c r="A62" s="1" t="s">
        <v>124</v>
      </c>
      <c r="B62" s="29">
        <v>18.0</v>
      </c>
    </row>
    <row r="63">
      <c r="A63" s="1" t="s">
        <v>126</v>
      </c>
      <c r="B63" s="29">
        <v>17.0</v>
      </c>
    </row>
    <row r="64">
      <c r="A64" s="1" t="s">
        <v>127</v>
      </c>
      <c r="B64" s="29">
        <v>23.0</v>
      </c>
    </row>
    <row r="65">
      <c r="A65" s="1" t="s">
        <v>129</v>
      </c>
      <c r="B65" s="29">
        <v>28.0</v>
      </c>
    </row>
    <row r="66">
      <c r="A66" s="1" t="s">
        <v>130</v>
      </c>
      <c r="B66" s="29">
        <v>13.0</v>
      </c>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row r="1000">
      <c r="A1000" s="1"/>
      <c r="B1000" s="1"/>
    </row>
  </sheetData>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3" t="s">
        <v>161</v>
      </c>
      <c r="B1" s="63" t="s">
        <v>162</v>
      </c>
      <c r="C1" s="1" t="s">
        <v>163</v>
      </c>
      <c r="D1" s="1" t="s">
        <v>164</v>
      </c>
    </row>
    <row r="2">
      <c r="A2" s="86">
        <v>3267.0</v>
      </c>
      <c r="B2" s="86">
        <v>646.707171228765</v>
      </c>
      <c r="C2" s="63"/>
      <c r="D2" s="1" t="s">
        <v>165</v>
      </c>
    </row>
    <row r="3">
      <c r="A3" s="86">
        <v>1767.0</v>
      </c>
      <c r="B3" s="86">
        <v>415.210760539494</v>
      </c>
      <c r="C3" s="63"/>
      <c r="D3" s="1" t="s">
        <v>165</v>
      </c>
    </row>
    <row r="4">
      <c r="A4" s="86">
        <v>3173.0</v>
      </c>
      <c r="B4" s="86">
        <v>603.682351623265</v>
      </c>
      <c r="C4" s="63"/>
      <c r="D4" s="1" t="s">
        <v>165</v>
      </c>
    </row>
    <row r="5">
      <c r="A5" s="86">
        <v>1856.0</v>
      </c>
      <c r="B5" s="86">
        <v>290.712074229273</v>
      </c>
      <c r="C5" s="63"/>
      <c r="D5" s="1" t="s">
        <v>165</v>
      </c>
    </row>
    <row r="6">
      <c r="A6" s="86">
        <v>2238.0</v>
      </c>
      <c r="B6" s="86">
        <v>459.424958499042</v>
      </c>
      <c r="C6" s="63"/>
      <c r="D6" s="1" t="s">
        <v>165</v>
      </c>
    </row>
    <row r="7">
      <c r="A7" s="86">
        <v>2186.0</v>
      </c>
      <c r="B7" s="86">
        <v>451.913648157068</v>
      </c>
      <c r="C7" s="63"/>
      <c r="D7" s="1" t="s">
        <v>165</v>
      </c>
    </row>
    <row r="8">
      <c r="A8" s="86">
        <v>2759.0</v>
      </c>
      <c r="B8" s="86">
        <v>513.919719356311</v>
      </c>
      <c r="C8" s="63"/>
      <c r="D8" s="1" t="s">
        <v>165</v>
      </c>
    </row>
    <row r="9">
      <c r="A9" s="86">
        <v>3436.0</v>
      </c>
      <c r="B9" s="86">
        <v>704.336339826269</v>
      </c>
      <c r="C9" s="63"/>
      <c r="D9" s="1" t="s">
        <v>165</v>
      </c>
    </row>
    <row r="10">
      <c r="A10" s="86">
        <v>2368.0</v>
      </c>
      <c r="B10" s="86">
        <v>444.815311403517</v>
      </c>
      <c r="C10" s="63"/>
      <c r="D10" s="1" t="s">
        <v>165</v>
      </c>
    </row>
    <row r="11">
      <c r="A11" s="86">
        <v>1810.0</v>
      </c>
      <c r="B11" s="86">
        <v>347.58307688607</v>
      </c>
      <c r="C11" s="63"/>
      <c r="D11" s="1" t="s">
        <v>165</v>
      </c>
    </row>
    <row r="12">
      <c r="A12" s="86">
        <v>2188.0</v>
      </c>
      <c r="B12" s="86">
        <v>428.601746121829</v>
      </c>
      <c r="C12" s="63"/>
      <c r="D12" s="1" t="s">
        <v>165</v>
      </c>
    </row>
    <row r="13">
      <c r="A13" s="86">
        <v>3495.0</v>
      </c>
      <c r="B13" s="86">
        <v>626.241676150742</v>
      </c>
      <c r="C13" s="63"/>
      <c r="D13" s="1" t="s">
        <v>165</v>
      </c>
    </row>
    <row r="14">
      <c r="A14" s="86">
        <v>1520.0</v>
      </c>
      <c r="B14" s="86">
        <v>348.614731008717</v>
      </c>
      <c r="C14" s="63"/>
      <c r="D14" s="1" t="s">
        <v>165</v>
      </c>
    </row>
    <row r="15">
      <c r="A15" s="86">
        <v>1585.0</v>
      </c>
      <c r="B15" s="86">
        <v>360.681023316376</v>
      </c>
      <c r="C15" s="63"/>
      <c r="D15" s="1" t="s">
        <v>165</v>
      </c>
    </row>
    <row r="16">
      <c r="A16" s="86">
        <v>1925.0</v>
      </c>
      <c r="B16" s="86">
        <v>460.246258586263</v>
      </c>
      <c r="C16" s="63"/>
      <c r="D16" s="1" t="s">
        <v>165</v>
      </c>
    </row>
    <row r="17">
      <c r="A17" s="86">
        <v>3483.0</v>
      </c>
      <c r="B17" s="86">
        <v>545.725805033448</v>
      </c>
      <c r="C17" s="63"/>
      <c r="D17" s="1" t="s">
        <v>165</v>
      </c>
    </row>
    <row r="18">
      <c r="A18" s="86">
        <v>2860.0</v>
      </c>
      <c r="B18" s="86">
        <v>538.570662355316</v>
      </c>
      <c r="C18" s="63"/>
      <c r="D18" s="1" t="s">
        <v>165</v>
      </c>
    </row>
    <row r="19">
      <c r="A19" s="86">
        <v>1644.0</v>
      </c>
      <c r="B19" s="86">
        <v>366.149061278115</v>
      </c>
      <c r="C19" s="63"/>
      <c r="D19" s="1" t="s">
        <v>165</v>
      </c>
    </row>
    <row r="20">
      <c r="A20" s="86">
        <v>3373.0</v>
      </c>
      <c r="B20" s="86">
        <v>631.437047412208</v>
      </c>
      <c r="C20" s="63"/>
      <c r="D20" s="1" t="s">
        <v>165</v>
      </c>
    </row>
    <row r="21">
      <c r="A21" s="86">
        <v>1679.0</v>
      </c>
      <c r="B21" s="86">
        <v>294.36393613337</v>
      </c>
      <c r="C21" s="63"/>
      <c r="D21" s="1" t="s">
        <v>165</v>
      </c>
    </row>
    <row r="22">
      <c r="A22" s="86">
        <v>778.0</v>
      </c>
      <c r="B22" s="1"/>
      <c r="C22" s="86">
        <v>116.673131288167</v>
      </c>
      <c r="D22" s="1" t="s">
        <v>166</v>
      </c>
    </row>
    <row r="23">
      <c r="A23" s="86">
        <v>903.0</v>
      </c>
      <c r="B23" s="1"/>
      <c r="C23" s="86">
        <v>68.3676538605716</v>
      </c>
      <c r="D23" s="1" t="s">
        <v>166</v>
      </c>
    </row>
    <row r="24">
      <c r="A24" s="86">
        <v>960.0</v>
      </c>
      <c r="B24" s="1"/>
      <c r="C24" s="86">
        <v>130.096147583225</v>
      </c>
      <c r="D24" s="1" t="s">
        <v>166</v>
      </c>
    </row>
    <row r="25">
      <c r="A25" s="86">
        <v>1352.0</v>
      </c>
      <c r="B25" s="1"/>
      <c r="C25" s="86">
        <v>142.548420120444</v>
      </c>
      <c r="D25" s="1" t="s">
        <v>166</v>
      </c>
    </row>
    <row r="26">
      <c r="A26" s="86">
        <v>925.0</v>
      </c>
      <c r="B26" s="1"/>
      <c r="C26" s="86">
        <v>128.091471396774</v>
      </c>
      <c r="D26" s="1" t="s">
        <v>166</v>
      </c>
    </row>
    <row r="27">
      <c r="A27" s="86">
        <v>775.0</v>
      </c>
      <c r="B27" s="1"/>
      <c r="C27" s="86">
        <v>156.014159313646</v>
      </c>
      <c r="D27" s="1" t="s">
        <v>166</v>
      </c>
    </row>
    <row r="28">
      <c r="A28" s="86">
        <v>1204.0</v>
      </c>
      <c r="B28" s="1"/>
      <c r="C28" s="86">
        <v>150.551402132035</v>
      </c>
      <c r="D28" s="1" t="s">
        <v>166</v>
      </c>
    </row>
    <row r="29">
      <c r="A29" s="86">
        <v>1013.0</v>
      </c>
      <c r="B29" s="1"/>
      <c r="C29" s="86">
        <v>194.174616351976</v>
      </c>
      <c r="D29" s="1" t="s">
        <v>166</v>
      </c>
    </row>
    <row r="30">
      <c r="A30" s="86">
        <v>1164.0</v>
      </c>
      <c r="B30" s="1"/>
      <c r="C30" s="86">
        <v>138.998642909679</v>
      </c>
      <c r="D30" s="1" t="s">
        <v>166</v>
      </c>
    </row>
    <row r="31">
      <c r="A31" s="86">
        <v>929.0</v>
      </c>
      <c r="B31" s="1"/>
      <c r="C31" s="86">
        <v>160.673905819968</v>
      </c>
      <c r="D31" s="1" t="s">
        <v>166</v>
      </c>
    </row>
    <row r="32">
      <c r="A32" s="86">
        <v>967.0</v>
      </c>
      <c r="B32" s="1"/>
      <c r="C32" s="86">
        <v>46.4061489050811</v>
      </c>
      <c r="D32" s="1" t="s">
        <v>166</v>
      </c>
    </row>
    <row r="33">
      <c r="A33" s="86">
        <v>635.0</v>
      </c>
      <c r="B33" s="1"/>
      <c r="C33" s="86">
        <v>148.375067693811</v>
      </c>
      <c r="D33" s="1" t="s">
        <v>166</v>
      </c>
    </row>
    <row r="34">
      <c r="A34" s="86">
        <v>824.0</v>
      </c>
      <c r="B34" s="1"/>
      <c r="C34" s="86">
        <v>173.640307216554</v>
      </c>
      <c r="D34" s="1" t="s">
        <v>166</v>
      </c>
    </row>
    <row r="35">
      <c r="A35" s="86">
        <v>977.0</v>
      </c>
      <c r="B35" s="1"/>
      <c r="C35" s="86">
        <v>168.551703035278</v>
      </c>
      <c r="D35" s="1" t="s">
        <v>166</v>
      </c>
    </row>
    <row r="36">
      <c r="A36" s="86">
        <v>1112.0</v>
      </c>
      <c r="B36" s="1"/>
      <c r="C36" s="86">
        <v>143.301783191038</v>
      </c>
      <c r="D36" s="1" t="s">
        <v>166</v>
      </c>
    </row>
    <row r="37">
      <c r="A37" s="86">
        <v>1167.0</v>
      </c>
      <c r="B37" s="1"/>
      <c r="C37" s="86">
        <v>146.492112437821</v>
      </c>
      <c r="D37" s="1" t="s">
        <v>166</v>
      </c>
    </row>
    <row r="38">
      <c r="A38" s="86">
        <v>1365.0</v>
      </c>
      <c r="B38" s="1"/>
      <c r="C38" s="86">
        <v>188.870452225544</v>
      </c>
      <c r="D38" s="1" t="s">
        <v>166</v>
      </c>
    </row>
    <row r="39">
      <c r="A39" s="86">
        <v>1232.0</v>
      </c>
      <c r="B39" s="1"/>
      <c r="C39" s="86">
        <v>186.670874290531</v>
      </c>
      <c r="D39" s="1" t="s">
        <v>166</v>
      </c>
    </row>
    <row r="40">
      <c r="A40" s="86">
        <v>767.0</v>
      </c>
      <c r="B40" s="1"/>
      <c r="C40" s="86">
        <v>88.4888094230257</v>
      </c>
      <c r="D40" s="1" t="s">
        <v>166</v>
      </c>
    </row>
    <row r="41">
      <c r="A41" s="86">
        <v>997.0</v>
      </c>
      <c r="B41" s="1"/>
      <c r="C41" s="86">
        <v>221.493258596769</v>
      </c>
      <c r="D41" s="1" t="s">
        <v>166</v>
      </c>
    </row>
    <row r="42">
      <c r="A42" s="63"/>
      <c r="B42" s="63"/>
      <c r="C42" s="63"/>
      <c r="D42" s="1"/>
    </row>
    <row r="43">
      <c r="A43" s="63"/>
      <c r="B43" s="63"/>
      <c r="C43" s="63"/>
      <c r="D43" s="1"/>
    </row>
    <row r="44">
      <c r="A44" s="63"/>
      <c r="B44" s="63"/>
      <c r="C44" s="63"/>
      <c r="D44" s="1"/>
    </row>
    <row r="45">
      <c r="A45" s="63"/>
      <c r="B45" s="63"/>
      <c r="C45" s="63"/>
      <c r="D45" s="1"/>
    </row>
    <row r="46">
      <c r="A46" s="63"/>
      <c r="B46" s="63"/>
      <c r="C46" s="63"/>
      <c r="D46" s="1"/>
    </row>
    <row r="47">
      <c r="A47" s="63"/>
      <c r="B47" s="63"/>
      <c r="C47" s="63"/>
      <c r="D47" s="1"/>
    </row>
    <row r="48">
      <c r="A48" s="63"/>
      <c r="B48" s="63"/>
      <c r="C48" s="63"/>
      <c r="D48" s="1"/>
    </row>
    <row r="49">
      <c r="A49" s="63"/>
      <c r="B49" s="63"/>
      <c r="C49" s="63"/>
      <c r="D49" s="1"/>
    </row>
    <row r="50">
      <c r="A50" s="63"/>
      <c r="B50" s="63"/>
      <c r="C50" s="63"/>
      <c r="D50" s="1"/>
    </row>
    <row r="51">
      <c r="A51" s="63"/>
      <c r="B51" s="63"/>
      <c r="C51" s="63"/>
      <c r="D51" s="1"/>
    </row>
    <row r="52">
      <c r="A52" s="63"/>
      <c r="B52" s="63"/>
      <c r="C52" s="63"/>
      <c r="D52" s="1"/>
    </row>
    <row r="53">
      <c r="A53" s="63"/>
      <c r="B53" s="63"/>
      <c r="C53" s="63"/>
      <c r="D53" s="1"/>
    </row>
    <row r="54">
      <c r="A54" s="63"/>
      <c r="B54" s="63"/>
      <c r="C54" s="63"/>
      <c r="D54" s="1"/>
    </row>
    <row r="55">
      <c r="A55" s="63"/>
      <c r="B55" s="63"/>
      <c r="C55" s="63"/>
      <c r="D55" s="1"/>
    </row>
    <row r="56">
      <c r="A56" s="63"/>
      <c r="B56" s="63"/>
      <c r="C56" s="63"/>
      <c r="D56" s="1"/>
    </row>
    <row r="57">
      <c r="A57" s="63"/>
      <c r="B57" s="63"/>
      <c r="C57" s="63"/>
      <c r="D57" s="1"/>
    </row>
    <row r="58">
      <c r="A58" s="63"/>
      <c r="B58" s="63"/>
      <c r="C58" s="63"/>
      <c r="D58" s="1"/>
    </row>
    <row r="59">
      <c r="A59" s="63"/>
      <c r="B59" s="63"/>
      <c r="C59" s="63"/>
      <c r="D59" s="1"/>
    </row>
    <row r="60">
      <c r="A60" s="63"/>
      <c r="B60" s="63"/>
      <c r="C60" s="63"/>
      <c r="D60" s="1"/>
    </row>
    <row r="61">
      <c r="A61" s="63"/>
      <c r="B61" s="63"/>
      <c r="C61" s="63"/>
      <c r="D61" s="1"/>
    </row>
    <row r="62">
      <c r="A62" s="63"/>
      <c r="B62" s="63"/>
      <c r="C62" s="63"/>
      <c r="D62" s="1"/>
    </row>
    <row r="63">
      <c r="A63" s="63"/>
      <c r="B63" s="63"/>
      <c r="C63" s="63"/>
      <c r="D63" s="1"/>
    </row>
    <row r="64">
      <c r="A64" s="63"/>
      <c r="B64" s="63"/>
      <c r="C64" s="63"/>
      <c r="D64" s="1"/>
    </row>
    <row r="65">
      <c r="A65" s="63"/>
      <c r="B65" s="63"/>
      <c r="C65" s="63"/>
      <c r="D65" s="1"/>
    </row>
    <row r="66">
      <c r="A66" s="63"/>
      <c r="B66" s="63"/>
      <c r="C66" s="63"/>
      <c r="D66" s="1"/>
    </row>
    <row r="67">
      <c r="A67" s="63"/>
      <c r="B67" s="63"/>
      <c r="C67" s="63"/>
      <c r="D67" s="1"/>
    </row>
    <row r="68">
      <c r="A68" s="63"/>
      <c r="B68" s="63"/>
      <c r="C68" s="63"/>
      <c r="D68" s="1"/>
    </row>
    <row r="69">
      <c r="A69" s="63"/>
      <c r="B69" s="63"/>
      <c r="C69" s="63"/>
      <c r="D69" s="1"/>
    </row>
    <row r="70">
      <c r="A70" s="63"/>
      <c r="B70" s="63"/>
      <c r="C70" s="63"/>
      <c r="D70" s="1"/>
    </row>
    <row r="71">
      <c r="A71" s="63"/>
      <c r="B71" s="63"/>
      <c r="C71" s="63"/>
      <c r="D71" s="1"/>
    </row>
    <row r="72">
      <c r="A72" s="63"/>
      <c r="B72" s="63"/>
      <c r="C72" s="63"/>
      <c r="D72" s="1"/>
    </row>
    <row r="73">
      <c r="A73" s="63"/>
      <c r="B73" s="63"/>
      <c r="C73" s="63"/>
      <c r="D73" s="1"/>
    </row>
    <row r="74">
      <c r="A74" s="63"/>
      <c r="B74" s="63"/>
      <c r="C74" s="63"/>
      <c r="D74" s="1"/>
    </row>
    <row r="75">
      <c r="A75" s="63"/>
      <c r="B75" s="63"/>
      <c r="C75" s="63"/>
      <c r="D75" s="1"/>
    </row>
    <row r="76">
      <c r="A76" s="63"/>
      <c r="B76" s="63"/>
      <c r="C76" s="63"/>
      <c r="D76" s="1"/>
    </row>
    <row r="77">
      <c r="A77" s="63"/>
      <c r="B77" s="63"/>
      <c r="C77" s="63"/>
      <c r="D77" s="1"/>
    </row>
    <row r="78">
      <c r="A78" s="63"/>
      <c r="B78" s="63"/>
      <c r="C78" s="63"/>
      <c r="D78" s="1"/>
    </row>
    <row r="79">
      <c r="A79" s="63"/>
      <c r="B79" s="63"/>
      <c r="C79" s="63"/>
      <c r="D79" s="1"/>
    </row>
    <row r="80">
      <c r="A80" s="63"/>
      <c r="B80" s="63"/>
      <c r="C80" s="63"/>
      <c r="D80" s="1"/>
    </row>
    <row r="81">
      <c r="A81" s="63"/>
      <c r="B81" s="63"/>
      <c r="C81" s="63"/>
      <c r="D81" s="1"/>
    </row>
    <row r="82">
      <c r="A82" s="63"/>
      <c r="B82" s="63"/>
      <c r="C82" s="63"/>
      <c r="D82" s="1"/>
    </row>
    <row r="83">
      <c r="A83" s="63"/>
      <c r="B83" s="63"/>
      <c r="C83" s="63"/>
      <c r="D83" s="1"/>
    </row>
    <row r="84">
      <c r="A84" s="63"/>
      <c r="B84" s="63"/>
      <c r="C84" s="63"/>
      <c r="D84" s="1"/>
    </row>
    <row r="85">
      <c r="A85" s="63"/>
      <c r="B85" s="63"/>
      <c r="C85" s="63"/>
      <c r="D85" s="1"/>
    </row>
    <row r="86">
      <c r="A86" s="63"/>
      <c r="B86" s="63"/>
      <c r="C86" s="63"/>
      <c r="D86" s="1"/>
    </row>
    <row r="87">
      <c r="A87" s="63"/>
      <c r="B87" s="63"/>
      <c r="C87" s="63"/>
      <c r="D87" s="1"/>
    </row>
    <row r="88">
      <c r="A88" s="63"/>
      <c r="B88" s="63"/>
      <c r="C88" s="63"/>
      <c r="D88" s="1"/>
    </row>
    <row r="89">
      <c r="A89" s="63"/>
      <c r="B89" s="63"/>
      <c r="C89" s="63"/>
      <c r="D89" s="1"/>
    </row>
    <row r="90">
      <c r="A90" s="63"/>
      <c r="B90" s="63"/>
      <c r="C90" s="63"/>
      <c r="D90" s="1"/>
    </row>
    <row r="91">
      <c r="A91" s="63"/>
      <c r="B91" s="63"/>
      <c r="C91" s="63"/>
      <c r="D91" s="1"/>
    </row>
    <row r="92">
      <c r="A92" s="63"/>
      <c r="B92" s="63"/>
      <c r="C92" s="63"/>
      <c r="D92" s="1"/>
    </row>
    <row r="93">
      <c r="A93" s="63"/>
      <c r="B93" s="63"/>
      <c r="C93" s="63"/>
      <c r="D93" s="1"/>
    </row>
    <row r="94">
      <c r="A94" s="63"/>
      <c r="B94" s="63"/>
      <c r="C94" s="63"/>
      <c r="D94" s="1"/>
    </row>
    <row r="95">
      <c r="A95" s="63"/>
      <c r="B95" s="63"/>
      <c r="C95" s="63"/>
      <c r="D95" s="1"/>
    </row>
    <row r="96">
      <c r="A96" s="63"/>
      <c r="B96" s="63"/>
      <c r="C96" s="63"/>
      <c r="D96" s="1"/>
    </row>
    <row r="97">
      <c r="A97" s="63"/>
      <c r="B97" s="63"/>
      <c r="C97" s="63"/>
      <c r="D97" s="1"/>
    </row>
    <row r="98">
      <c r="A98" s="63"/>
      <c r="B98" s="63"/>
      <c r="C98" s="63"/>
      <c r="D98" s="1"/>
    </row>
    <row r="99">
      <c r="A99" s="63"/>
      <c r="B99" s="63"/>
      <c r="C99" s="63"/>
      <c r="D99" s="1"/>
    </row>
    <row r="100">
      <c r="A100" s="63"/>
      <c r="B100" s="63"/>
      <c r="C100" s="63"/>
      <c r="D100" s="1"/>
    </row>
    <row r="101">
      <c r="A101" s="63"/>
      <c r="B101" s="63"/>
      <c r="C101" s="63"/>
      <c r="D101" s="1"/>
    </row>
    <row r="102">
      <c r="A102" s="63"/>
      <c r="B102" s="63"/>
      <c r="C102" s="63"/>
      <c r="D102" s="1"/>
    </row>
    <row r="103">
      <c r="A103" s="63"/>
      <c r="B103" s="63"/>
      <c r="C103" s="63"/>
      <c r="D103" s="1"/>
    </row>
    <row r="104">
      <c r="A104" s="63"/>
      <c r="B104" s="63"/>
      <c r="C104" s="63"/>
      <c r="D104" s="1"/>
    </row>
    <row r="105">
      <c r="A105" s="63"/>
      <c r="B105" s="63"/>
      <c r="C105" s="63"/>
      <c r="D105" s="1"/>
    </row>
    <row r="106">
      <c r="A106" s="63"/>
      <c r="B106" s="63"/>
      <c r="C106" s="63"/>
      <c r="D106" s="1"/>
    </row>
    <row r="107">
      <c r="A107" s="63"/>
      <c r="B107" s="63"/>
      <c r="C107" s="63"/>
      <c r="D107" s="1"/>
    </row>
    <row r="108">
      <c r="A108" s="63"/>
      <c r="B108" s="63"/>
      <c r="C108" s="63"/>
      <c r="D108" s="1"/>
    </row>
    <row r="109">
      <c r="A109" s="63"/>
      <c r="B109" s="63"/>
      <c r="C109" s="63"/>
      <c r="D109" s="1"/>
    </row>
    <row r="110">
      <c r="A110" s="63"/>
      <c r="B110" s="63"/>
      <c r="C110" s="63"/>
      <c r="D110" s="1"/>
    </row>
    <row r="111">
      <c r="A111" s="63"/>
      <c r="B111" s="63"/>
      <c r="C111" s="63"/>
      <c r="D111" s="1"/>
    </row>
    <row r="112">
      <c r="A112" s="63"/>
      <c r="B112" s="63"/>
      <c r="C112" s="63"/>
      <c r="D112" s="1"/>
    </row>
    <row r="113">
      <c r="A113" s="63"/>
      <c r="B113" s="63"/>
      <c r="C113" s="63"/>
      <c r="D113" s="1"/>
    </row>
    <row r="114">
      <c r="A114" s="63"/>
      <c r="B114" s="63"/>
      <c r="C114" s="63"/>
      <c r="D114" s="1"/>
    </row>
    <row r="115">
      <c r="A115" s="63"/>
      <c r="B115" s="63"/>
      <c r="C115" s="63"/>
      <c r="D115" s="1"/>
    </row>
    <row r="116">
      <c r="A116" s="63"/>
      <c r="B116" s="63"/>
      <c r="C116" s="63"/>
      <c r="D116" s="1"/>
    </row>
    <row r="117">
      <c r="A117" s="63"/>
      <c r="B117" s="63"/>
      <c r="C117" s="63"/>
      <c r="D117" s="1"/>
    </row>
    <row r="118">
      <c r="A118" s="63"/>
      <c r="B118" s="63"/>
      <c r="C118" s="63"/>
      <c r="D118" s="1"/>
    </row>
    <row r="119">
      <c r="A119" s="63"/>
      <c r="B119" s="63"/>
      <c r="C119" s="63"/>
      <c r="D119" s="1"/>
    </row>
    <row r="120">
      <c r="A120" s="63"/>
      <c r="B120" s="63"/>
      <c r="C120" s="63"/>
      <c r="D120" s="1"/>
    </row>
    <row r="121">
      <c r="A121" s="63"/>
      <c r="B121" s="63"/>
      <c r="C121" s="63"/>
      <c r="D121" s="1"/>
    </row>
    <row r="122">
      <c r="A122" s="63"/>
      <c r="B122" s="63"/>
      <c r="C122" s="63"/>
      <c r="D122" s="1"/>
    </row>
    <row r="123">
      <c r="A123" s="63"/>
      <c r="B123" s="63"/>
      <c r="C123" s="63"/>
      <c r="D123" s="1"/>
    </row>
    <row r="124">
      <c r="A124" s="63"/>
      <c r="B124" s="63"/>
      <c r="C124" s="63"/>
      <c r="D124" s="1"/>
    </row>
    <row r="125">
      <c r="A125" s="63"/>
      <c r="B125" s="63"/>
      <c r="C125" s="63"/>
      <c r="D125" s="1"/>
    </row>
    <row r="126">
      <c r="A126" s="63"/>
      <c r="B126" s="63"/>
      <c r="C126" s="63"/>
      <c r="D126" s="1"/>
    </row>
    <row r="127">
      <c r="A127" s="63"/>
      <c r="B127" s="63"/>
      <c r="C127" s="63"/>
      <c r="D127" s="1"/>
    </row>
    <row r="128">
      <c r="A128" s="63"/>
      <c r="B128" s="63"/>
      <c r="C128" s="63"/>
      <c r="D128" s="1"/>
    </row>
    <row r="129">
      <c r="A129" s="63"/>
      <c r="B129" s="63"/>
      <c r="C129" s="63"/>
      <c r="D129" s="1"/>
    </row>
    <row r="130">
      <c r="A130" s="63"/>
      <c r="B130" s="63"/>
      <c r="C130" s="63"/>
      <c r="D130" s="1"/>
    </row>
    <row r="131">
      <c r="A131" s="63"/>
      <c r="B131" s="63"/>
      <c r="C131" s="63"/>
      <c r="D131" s="1"/>
    </row>
    <row r="132">
      <c r="A132" s="63"/>
      <c r="B132" s="63"/>
      <c r="C132" s="63"/>
      <c r="D132" s="1"/>
    </row>
    <row r="133">
      <c r="A133" s="63"/>
      <c r="B133" s="63"/>
      <c r="C133" s="63"/>
      <c r="D133" s="1"/>
    </row>
    <row r="134">
      <c r="A134" s="63"/>
      <c r="B134" s="63"/>
      <c r="C134" s="63"/>
      <c r="D134" s="1"/>
    </row>
    <row r="135">
      <c r="A135" s="63"/>
      <c r="B135" s="63"/>
      <c r="C135" s="63"/>
      <c r="D135" s="1"/>
    </row>
    <row r="136">
      <c r="A136" s="63"/>
      <c r="B136" s="63"/>
      <c r="C136" s="63"/>
      <c r="D136" s="1"/>
    </row>
    <row r="137">
      <c r="A137" s="63"/>
      <c r="B137" s="63"/>
      <c r="C137" s="63"/>
      <c r="D137" s="1"/>
    </row>
    <row r="138">
      <c r="A138" s="63"/>
      <c r="B138" s="63"/>
      <c r="C138" s="63"/>
      <c r="D138" s="1"/>
    </row>
    <row r="139">
      <c r="A139" s="63"/>
      <c r="B139" s="63"/>
      <c r="C139" s="63"/>
      <c r="D139" s="1"/>
    </row>
    <row r="140">
      <c r="A140" s="63"/>
      <c r="B140" s="63"/>
      <c r="C140" s="63"/>
      <c r="D140" s="1"/>
    </row>
    <row r="141">
      <c r="A141" s="63"/>
      <c r="B141" s="63"/>
      <c r="C141" s="63"/>
      <c r="D141" s="1"/>
    </row>
    <row r="142">
      <c r="A142" s="63"/>
      <c r="B142" s="63"/>
      <c r="C142" s="63"/>
      <c r="D142" s="1"/>
    </row>
    <row r="143">
      <c r="A143" s="63"/>
      <c r="B143" s="63"/>
      <c r="C143" s="63"/>
      <c r="D143" s="1"/>
    </row>
    <row r="144">
      <c r="A144" s="63"/>
      <c r="B144" s="63"/>
      <c r="C144" s="63"/>
      <c r="D144" s="1"/>
    </row>
    <row r="145">
      <c r="A145" s="63"/>
      <c r="B145" s="63"/>
      <c r="C145" s="63"/>
      <c r="D145" s="1"/>
    </row>
    <row r="146">
      <c r="A146" s="63"/>
      <c r="B146" s="63"/>
      <c r="C146" s="63"/>
      <c r="D146" s="1"/>
    </row>
    <row r="147">
      <c r="A147" s="63"/>
      <c r="B147" s="63"/>
      <c r="C147" s="63"/>
      <c r="D147" s="1"/>
    </row>
    <row r="148">
      <c r="A148" s="63"/>
      <c r="B148" s="63"/>
      <c r="C148" s="63"/>
      <c r="D148" s="1"/>
    </row>
    <row r="149">
      <c r="A149" s="63"/>
      <c r="B149" s="63"/>
      <c r="C149" s="63"/>
      <c r="D149" s="1"/>
    </row>
    <row r="150">
      <c r="A150" s="63"/>
      <c r="B150" s="63"/>
      <c r="C150" s="63"/>
      <c r="D150" s="1"/>
    </row>
    <row r="151">
      <c r="A151" s="63"/>
      <c r="B151" s="63"/>
      <c r="C151" s="63"/>
      <c r="D151" s="1"/>
    </row>
    <row r="152">
      <c r="A152" s="63"/>
      <c r="B152" s="63"/>
      <c r="C152" s="63"/>
      <c r="D152" s="1"/>
    </row>
    <row r="153">
      <c r="A153" s="63"/>
      <c r="B153" s="63"/>
      <c r="C153" s="63"/>
      <c r="D153" s="1"/>
    </row>
    <row r="154">
      <c r="A154" s="63"/>
      <c r="B154" s="63"/>
      <c r="C154" s="63"/>
      <c r="D154" s="1"/>
    </row>
    <row r="155">
      <c r="A155" s="63"/>
      <c r="B155" s="63"/>
      <c r="C155" s="63"/>
      <c r="D155" s="1"/>
    </row>
    <row r="156">
      <c r="A156" s="63"/>
      <c r="B156" s="63"/>
      <c r="C156" s="63"/>
      <c r="D156" s="1"/>
    </row>
    <row r="157">
      <c r="A157" s="63"/>
      <c r="B157" s="63"/>
      <c r="C157" s="63"/>
      <c r="D157" s="1"/>
    </row>
    <row r="158">
      <c r="A158" s="63"/>
      <c r="B158" s="63"/>
      <c r="C158" s="63"/>
      <c r="D158" s="1"/>
    </row>
    <row r="159">
      <c r="A159" s="63"/>
      <c r="B159" s="63"/>
      <c r="C159" s="63"/>
      <c r="D159" s="1"/>
    </row>
    <row r="160">
      <c r="A160" s="63"/>
      <c r="B160" s="63"/>
      <c r="C160" s="63"/>
      <c r="D160" s="1"/>
    </row>
    <row r="161">
      <c r="A161" s="63"/>
      <c r="B161" s="63"/>
      <c r="C161" s="63"/>
      <c r="D161" s="1"/>
    </row>
    <row r="162">
      <c r="A162" s="63"/>
      <c r="B162" s="63"/>
      <c r="C162" s="63"/>
      <c r="D162" s="1"/>
    </row>
    <row r="163">
      <c r="A163" s="63"/>
      <c r="B163" s="63"/>
      <c r="C163" s="63"/>
      <c r="D163" s="1"/>
    </row>
    <row r="164">
      <c r="A164" s="63"/>
      <c r="B164" s="63"/>
      <c r="C164" s="63"/>
      <c r="D164" s="1"/>
    </row>
    <row r="165">
      <c r="A165" s="63"/>
      <c r="B165" s="63"/>
      <c r="C165" s="63"/>
      <c r="D165" s="1"/>
    </row>
    <row r="166">
      <c r="A166" s="63"/>
      <c r="B166" s="63"/>
      <c r="C166" s="63"/>
      <c r="D166" s="1"/>
    </row>
    <row r="167">
      <c r="A167" s="63"/>
      <c r="B167" s="63"/>
      <c r="C167" s="63"/>
      <c r="D167" s="1"/>
    </row>
    <row r="168">
      <c r="A168" s="63"/>
      <c r="B168" s="63"/>
      <c r="C168" s="63"/>
      <c r="D168" s="1"/>
    </row>
    <row r="169">
      <c r="A169" s="63"/>
      <c r="B169" s="63"/>
      <c r="C169" s="63"/>
      <c r="D169" s="1"/>
    </row>
    <row r="170">
      <c r="A170" s="63"/>
      <c r="B170" s="63"/>
      <c r="C170" s="63"/>
      <c r="D170" s="1"/>
    </row>
    <row r="171">
      <c r="A171" s="63"/>
      <c r="B171" s="63"/>
      <c r="C171" s="63"/>
      <c r="D171" s="1"/>
    </row>
    <row r="172">
      <c r="A172" s="63"/>
      <c r="B172" s="63"/>
      <c r="C172" s="63"/>
      <c r="D172" s="1"/>
    </row>
    <row r="173">
      <c r="A173" s="63"/>
      <c r="B173" s="63"/>
      <c r="C173" s="63"/>
      <c r="D173" s="1"/>
    </row>
    <row r="174">
      <c r="A174" s="63"/>
      <c r="B174" s="63"/>
      <c r="C174" s="63"/>
      <c r="D174" s="1"/>
    </row>
    <row r="175">
      <c r="A175" s="63"/>
      <c r="B175" s="63"/>
      <c r="C175" s="63"/>
      <c r="D175" s="1"/>
    </row>
    <row r="176">
      <c r="A176" s="63"/>
      <c r="B176" s="63"/>
      <c r="C176" s="63"/>
      <c r="D176" s="1"/>
    </row>
    <row r="177">
      <c r="A177" s="63"/>
      <c r="B177" s="63"/>
      <c r="C177" s="63"/>
      <c r="D177" s="1"/>
    </row>
    <row r="178">
      <c r="A178" s="63"/>
      <c r="B178" s="63"/>
      <c r="C178" s="63"/>
      <c r="D178" s="1"/>
    </row>
    <row r="179">
      <c r="A179" s="63"/>
      <c r="B179" s="63"/>
      <c r="C179" s="63"/>
      <c r="D179" s="1"/>
    </row>
    <row r="180">
      <c r="A180" s="63"/>
      <c r="B180" s="63"/>
      <c r="C180" s="63"/>
      <c r="D180" s="1"/>
    </row>
    <row r="181">
      <c r="A181" s="63"/>
      <c r="B181" s="63"/>
      <c r="C181" s="63"/>
      <c r="D181" s="1"/>
    </row>
    <row r="182">
      <c r="A182" s="63"/>
      <c r="B182" s="63"/>
      <c r="C182" s="63"/>
      <c r="D182" s="1"/>
    </row>
    <row r="183">
      <c r="A183" s="63"/>
      <c r="B183" s="63"/>
      <c r="C183" s="63"/>
      <c r="D183" s="1"/>
    </row>
    <row r="184">
      <c r="A184" s="63"/>
      <c r="B184" s="63"/>
      <c r="C184" s="63"/>
      <c r="D184" s="1"/>
    </row>
    <row r="185">
      <c r="A185" s="63"/>
      <c r="B185" s="63"/>
      <c r="C185" s="63"/>
      <c r="D185" s="1"/>
    </row>
    <row r="186">
      <c r="A186" s="63"/>
      <c r="B186" s="63"/>
      <c r="C186" s="63"/>
      <c r="D186" s="1"/>
    </row>
    <row r="187">
      <c r="A187" s="63"/>
      <c r="B187" s="63"/>
      <c r="C187" s="63"/>
      <c r="D187" s="1"/>
    </row>
    <row r="188">
      <c r="A188" s="63"/>
      <c r="B188" s="63"/>
      <c r="C188" s="63"/>
      <c r="D188" s="1"/>
    </row>
    <row r="189">
      <c r="A189" s="63"/>
      <c r="B189" s="63"/>
      <c r="C189" s="63"/>
      <c r="D189" s="1"/>
    </row>
    <row r="190">
      <c r="A190" s="63"/>
      <c r="B190" s="63"/>
      <c r="C190" s="63"/>
      <c r="D190" s="1"/>
    </row>
    <row r="191">
      <c r="A191" s="63"/>
      <c r="B191" s="63"/>
      <c r="C191" s="63"/>
      <c r="D191" s="1"/>
    </row>
    <row r="192">
      <c r="A192" s="63"/>
      <c r="B192" s="63"/>
      <c r="C192" s="63"/>
      <c r="D192" s="1"/>
    </row>
    <row r="193">
      <c r="A193" s="63"/>
      <c r="B193" s="63"/>
      <c r="C193" s="63"/>
      <c r="D193" s="1"/>
    </row>
    <row r="194">
      <c r="A194" s="63"/>
      <c r="B194" s="63"/>
      <c r="C194" s="63"/>
      <c r="D194" s="1"/>
    </row>
    <row r="195">
      <c r="A195" s="63"/>
      <c r="B195" s="63"/>
      <c r="C195" s="63"/>
      <c r="D195" s="1"/>
    </row>
    <row r="196">
      <c r="A196" s="63"/>
      <c r="B196" s="63"/>
      <c r="C196" s="63"/>
      <c r="D196" s="1"/>
    </row>
    <row r="197">
      <c r="A197" s="63"/>
      <c r="B197" s="63"/>
      <c r="C197" s="63"/>
      <c r="D197" s="1"/>
    </row>
    <row r="198">
      <c r="A198" s="63"/>
      <c r="B198" s="63"/>
      <c r="C198" s="63"/>
      <c r="D198" s="1"/>
    </row>
    <row r="199">
      <c r="A199" s="63"/>
      <c r="B199" s="63"/>
      <c r="C199" s="63"/>
      <c r="D199" s="1"/>
    </row>
    <row r="200">
      <c r="A200" s="63"/>
      <c r="B200" s="63"/>
      <c r="C200" s="63"/>
      <c r="D200" s="1"/>
    </row>
    <row r="201">
      <c r="A201" s="63"/>
      <c r="B201" s="63"/>
      <c r="C201" s="63"/>
      <c r="D201" s="1"/>
    </row>
    <row r="202">
      <c r="A202" s="63"/>
      <c r="B202" s="63"/>
      <c r="C202" s="63"/>
      <c r="D202" s="1"/>
    </row>
    <row r="203">
      <c r="A203" s="63"/>
      <c r="B203" s="63"/>
      <c r="C203" s="63"/>
      <c r="D203" s="1"/>
    </row>
    <row r="204">
      <c r="A204" s="63"/>
      <c r="B204" s="63"/>
      <c r="C204" s="63"/>
      <c r="D204" s="1"/>
    </row>
    <row r="205">
      <c r="A205" s="63"/>
      <c r="B205" s="63"/>
      <c r="C205" s="63"/>
      <c r="D205" s="1"/>
    </row>
    <row r="206">
      <c r="A206" s="63"/>
      <c r="B206" s="63"/>
      <c r="C206" s="63"/>
      <c r="D206" s="1"/>
    </row>
    <row r="207">
      <c r="A207" s="63"/>
      <c r="B207" s="63"/>
      <c r="C207" s="63"/>
      <c r="D207" s="1"/>
    </row>
    <row r="208">
      <c r="A208" s="63"/>
      <c r="B208" s="63"/>
      <c r="C208" s="63"/>
      <c r="D208" s="1"/>
    </row>
    <row r="209">
      <c r="A209" s="63"/>
      <c r="B209" s="63"/>
      <c r="C209" s="63"/>
      <c r="D209" s="1"/>
    </row>
    <row r="210">
      <c r="A210" s="63"/>
      <c r="B210" s="63"/>
      <c r="C210" s="63"/>
      <c r="D210" s="1"/>
    </row>
    <row r="211">
      <c r="A211" s="63"/>
      <c r="B211" s="63"/>
      <c r="C211" s="63"/>
      <c r="D211" s="1"/>
    </row>
    <row r="212">
      <c r="A212" s="63"/>
      <c r="B212" s="63"/>
      <c r="C212" s="63"/>
      <c r="D212" s="1"/>
    </row>
    <row r="213">
      <c r="A213" s="63"/>
      <c r="B213" s="63"/>
      <c r="C213" s="63"/>
      <c r="D213" s="1"/>
    </row>
    <row r="214">
      <c r="A214" s="63"/>
      <c r="B214" s="63"/>
      <c r="C214" s="63"/>
      <c r="D214" s="1"/>
    </row>
    <row r="215">
      <c r="A215" s="63"/>
      <c r="B215" s="63"/>
      <c r="C215" s="63"/>
      <c r="D215" s="1"/>
    </row>
    <row r="216">
      <c r="A216" s="63"/>
      <c r="B216" s="63"/>
      <c r="C216" s="63"/>
      <c r="D216" s="1"/>
    </row>
    <row r="217">
      <c r="A217" s="63"/>
      <c r="B217" s="63"/>
      <c r="C217" s="63"/>
      <c r="D217" s="1"/>
    </row>
    <row r="218">
      <c r="A218" s="63"/>
      <c r="B218" s="63"/>
      <c r="C218" s="63"/>
      <c r="D218" s="1"/>
    </row>
    <row r="219">
      <c r="A219" s="63"/>
      <c r="B219" s="63"/>
      <c r="C219" s="63"/>
      <c r="D219" s="1"/>
    </row>
    <row r="220">
      <c r="A220" s="63"/>
      <c r="B220" s="63"/>
      <c r="C220" s="63"/>
      <c r="D220" s="1"/>
    </row>
    <row r="221">
      <c r="A221" s="63"/>
      <c r="B221" s="63"/>
      <c r="C221" s="63"/>
      <c r="D221" s="1"/>
    </row>
    <row r="222">
      <c r="A222" s="63"/>
      <c r="B222" s="63"/>
      <c r="C222" s="63"/>
      <c r="D222" s="1"/>
    </row>
    <row r="223">
      <c r="A223" s="63"/>
      <c r="B223" s="63"/>
      <c r="C223" s="63"/>
      <c r="D223" s="1"/>
    </row>
    <row r="224">
      <c r="A224" s="63"/>
      <c r="B224" s="63"/>
      <c r="C224" s="63"/>
      <c r="D224" s="1"/>
    </row>
    <row r="225">
      <c r="A225" s="63"/>
      <c r="B225" s="63"/>
      <c r="C225" s="63"/>
      <c r="D225" s="1"/>
    </row>
    <row r="226">
      <c r="A226" s="63"/>
      <c r="B226" s="63"/>
      <c r="C226" s="63"/>
      <c r="D226" s="1"/>
    </row>
    <row r="227">
      <c r="A227" s="63"/>
      <c r="B227" s="63"/>
      <c r="C227" s="63"/>
      <c r="D227" s="1"/>
    </row>
    <row r="228">
      <c r="A228" s="63"/>
      <c r="B228" s="63"/>
      <c r="C228" s="63"/>
      <c r="D228" s="1"/>
    </row>
    <row r="229">
      <c r="A229" s="63"/>
      <c r="B229" s="63"/>
      <c r="C229" s="63"/>
      <c r="D229" s="1"/>
    </row>
    <row r="230">
      <c r="A230" s="63"/>
      <c r="B230" s="63"/>
      <c r="C230" s="63"/>
      <c r="D230" s="1"/>
    </row>
    <row r="231">
      <c r="A231" s="63"/>
      <c r="B231" s="63"/>
      <c r="C231" s="63"/>
      <c r="D231" s="1"/>
    </row>
    <row r="232">
      <c r="A232" s="63"/>
      <c r="B232" s="63"/>
      <c r="C232" s="63"/>
      <c r="D232" s="1"/>
    </row>
    <row r="233">
      <c r="A233" s="63"/>
      <c r="B233" s="63"/>
      <c r="C233" s="63"/>
      <c r="D233" s="1"/>
    </row>
    <row r="234">
      <c r="A234" s="63"/>
      <c r="B234" s="63"/>
      <c r="C234" s="63"/>
      <c r="D234" s="1"/>
    </row>
    <row r="235">
      <c r="A235" s="63"/>
      <c r="B235" s="63"/>
      <c r="C235" s="63"/>
      <c r="D235" s="1"/>
    </row>
    <row r="236">
      <c r="A236" s="63"/>
      <c r="B236" s="63"/>
      <c r="C236" s="63"/>
      <c r="D236" s="1"/>
    </row>
    <row r="237">
      <c r="A237" s="63"/>
      <c r="B237" s="63"/>
      <c r="C237" s="63"/>
      <c r="D237" s="1"/>
    </row>
    <row r="238">
      <c r="A238" s="63"/>
      <c r="B238" s="63"/>
      <c r="C238" s="63"/>
      <c r="D238" s="1"/>
    </row>
    <row r="239">
      <c r="A239" s="63"/>
      <c r="B239" s="63"/>
      <c r="C239" s="63"/>
      <c r="D239" s="1"/>
    </row>
    <row r="240">
      <c r="A240" s="63"/>
      <c r="B240" s="63"/>
      <c r="C240" s="63"/>
      <c r="D240" s="1"/>
    </row>
    <row r="241">
      <c r="A241" s="63"/>
      <c r="B241" s="63"/>
      <c r="C241" s="63"/>
      <c r="D241" s="1"/>
    </row>
    <row r="242">
      <c r="A242" s="63"/>
      <c r="B242" s="63"/>
      <c r="C242" s="63"/>
      <c r="D242" s="1"/>
    </row>
    <row r="243">
      <c r="A243" s="63"/>
      <c r="B243" s="63"/>
      <c r="C243" s="63"/>
      <c r="D243" s="1"/>
    </row>
    <row r="244">
      <c r="A244" s="63"/>
      <c r="B244" s="63"/>
      <c r="C244" s="63"/>
      <c r="D244" s="1"/>
    </row>
    <row r="245">
      <c r="A245" s="63"/>
      <c r="B245" s="63"/>
      <c r="C245" s="63"/>
      <c r="D245" s="1"/>
    </row>
    <row r="246">
      <c r="A246" s="63"/>
      <c r="B246" s="63"/>
      <c r="C246" s="63"/>
      <c r="D246" s="1"/>
    </row>
    <row r="247">
      <c r="A247" s="63"/>
      <c r="B247" s="63"/>
      <c r="C247" s="63"/>
      <c r="D247" s="1"/>
    </row>
    <row r="248">
      <c r="A248" s="63"/>
      <c r="B248" s="63"/>
      <c r="C248" s="63"/>
      <c r="D248" s="1"/>
    </row>
    <row r="249">
      <c r="A249" s="63"/>
      <c r="B249" s="63"/>
      <c r="C249" s="63"/>
      <c r="D249" s="1"/>
    </row>
    <row r="250">
      <c r="A250" s="63"/>
      <c r="B250" s="63"/>
      <c r="C250" s="63"/>
      <c r="D250" s="1"/>
    </row>
    <row r="251">
      <c r="A251" s="63"/>
      <c r="B251" s="63"/>
      <c r="C251" s="63"/>
      <c r="D251" s="1"/>
    </row>
    <row r="252">
      <c r="A252" s="63"/>
      <c r="B252" s="63"/>
      <c r="C252" s="63"/>
      <c r="D252" s="1"/>
    </row>
    <row r="253">
      <c r="A253" s="63"/>
      <c r="B253" s="63"/>
      <c r="C253" s="63"/>
      <c r="D253" s="1"/>
    </row>
    <row r="254">
      <c r="A254" s="63"/>
      <c r="B254" s="63"/>
      <c r="C254" s="63"/>
      <c r="D254" s="1"/>
    </row>
    <row r="255">
      <c r="A255" s="63"/>
      <c r="B255" s="63"/>
      <c r="C255" s="63"/>
      <c r="D255" s="1"/>
    </row>
    <row r="256">
      <c r="A256" s="63"/>
      <c r="B256" s="63"/>
      <c r="C256" s="63"/>
      <c r="D256" s="1"/>
    </row>
    <row r="257">
      <c r="A257" s="63"/>
      <c r="B257" s="63"/>
      <c r="C257" s="63"/>
      <c r="D257" s="1"/>
    </row>
    <row r="258">
      <c r="A258" s="63"/>
      <c r="B258" s="63"/>
      <c r="C258" s="63"/>
      <c r="D258" s="1"/>
    </row>
    <row r="259">
      <c r="A259" s="63"/>
      <c r="B259" s="63"/>
      <c r="C259" s="63"/>
      <c r="D259" s="1"/>
    </row>
    <row r="260">
      <c r="A260" s="63"/>
      <c r="B260" s="63"/>
      <c r="C260" s="63"/>
      <c r="D260" s="1"/>
    </row>
    <row r="261">
      <c r="A261" s="63"/>
      <c r="B261" s="63"/>
      <c r="C261" s="63"/>
      <c r="D261" s="1"/>
    </row>
    <row r="262">
      <c r="A262" s="63"/>
      <c r="B262" s="63"/>
      <c r="C262" s="63"/>
      <c r="D262" s="1"/>
    </row>
    <row r="263">
      <c r="A263" s="63"/>
      <c r="B263" s="63"/>
      <c r="C263" s="63"/>
      <c r="D263" s="1"/>
    </row>
    <row r="264">
      <c r="A264" s="63"/>
      <c r="B264" s="63"/>
      <c r="C264" s="63"/>
      <c r="D264" s="1"/>
    </row>
    <row r="265">
      <c r="A265" s="63"/>
      <c r="B265" s="63"/>
      <c r="C265" s="63"/>
      <c r="D265" s="1"/>
    </row>
    <row r="266">
      <c r="A266" s="63"/>
      <c r="B266" s="63"/>
      <c r="C266" s="63"/>
      <c r="D266" s="1"/>
    </row>
    <row r="267">
      <c r="A267" s="63"/>
      <c r="B267" s="63"/>
      <c r="C267" s="63"/>
      <c r="D267" s="1"/>
    </row>
    <row r="268">
      <c r="A268" s="63"/>
      <c r="B268" s="63"/>
      <c r="C268" s="63"/>
      <c r="D268" s="1"/>
    </row>
    <row r="269">
      <c r="A269" s="63"/>
      <c r="B269" s="63"/>
      <c r="C269" s="63"/>
      <c r="D269" s="1"/>
    </row>
    <row r="270">
      <c r="A270" s="63"/>
      <c r="B270" s="63"/>
      <c r="C270" s="63"/>
      <c r="D270" s="1"/>
    </row>
    <row r="271">
      <c r="A271" s="63"/>
      <c r="B271" s="63"/>
      <c r="C271" s="63"/>
      <c r="D271" s="1"/>
    </row>
    <row r="272">
      <c r="A272" s="63"/>
      <c r="B272" s="63"/>
      <c r="C272" s="63"/>
      <c r="D272" s="1"/>
    </row>
    <row r="273">
      <c r="A273" s="63"/>
      <c r="B273" s="63"/>
      <c r="C273" s="63"/>
      <c r="D273" s="1"/>
    </row>
    <row r="274">
      <c r="A274" s="63"/>
      <c r="B274" s="63"/>
      <c r="C274" s="63"/>
      <c r="D274" s="1"/>
    </row>
    <row r="275">
      <c r="A275" s="63"/>
      <c r="B275" s="63"/>
      <c r="C275" s="63"/>
      <c r="D275" s="1"/>
    </row>
    <row r="276">
      <c r="A276" s="63"/>
      <c r="B276" s="63"/>
      <c r="C276" s="63"/>
      <c r="D276" s="1"/>
    </row>
    <row r="277">
      <c r="A277" s="63"/>
      <c r="B277" s="63"/>
      <c r="C277" s="63"/>
      <c r="D277" s="1"/>
    </row>
    <row r="278">
      <c r="A278" s="63"/>
      <c r="B278" s="63"/>
      <c r="C278" s="63"/>
      <c r="D278" s="1"/>
    </row>
    <row r="279">
      <c r="A279" s="63"/>
      <c r="B279" s="63"/>
      <c r="C279" s="63"/>
      <c r="D279" s="1"/>
    </row>
    <row r="280">
      <c r="A280" s="63"/>
      <c r="B280" s="63"/>
      <c r="C280" s="63"/>
      <c r="D280" s="1"/>
    </row>
    <row r="281">
      <c r="A281" s="63"/>
      <c r="B281" s="63"/>
      <c r="C281" s="63"/>
      <c r="D281" s="1"/>
    </row>
    <row r="282">
      <c r="A282" s="63"/>
      <c r="B282" s="63"/>
      <c r="C282" s="63"/>
      <c r="D282" s="1"/>
    </row>
    <row r="283">
      <c r="A283" s="63"/>
      <c r="B283" s="63"/>
      <c r="C283" s="63"/>
      <c r="D283" s="1"/>
    </row>
    <row r="284">
      <c r="A284" s="63"/>
      <c r="B284" s="63"/>
      <c r="C284" s="63"/>
      <c r="D284" s="1"/>
    </row>
    <row r="285">
      <c r="A285" s="63"/>
      <c r="B285" s="63"/>
      <c r="C285" s="63"/>
      <c r="D285" s="1"/>
    </row>
    <row r="286">
      <c r="A286" s="63"/>
      <c r="B286" s="63"/>
      <c r="C286" s="63"/>
      <c r="D286" s="1"/>
    </row>
    <row r="287">
      <c r="A287" s="63"/>
      <c r="B287" s="63"/>
      <c r="C287" s="63"/>
      <c r="D287" s="1"/>
    </row>
    <row r="288">
      <c r="A288" s="63"/>
      <c r="B288" s="63"/>
      <c r="C288" s="63"/>
      <c r="D288" s="1"/>
    </row>
    <row r="289">
      <c r="A289" s="63"/>
      <c r="B289" s="63"/>
      <c r="C289" s="63"/>
      <c r="D289" s="1"/>
    </row>
    <row r="290">
      <c r="A290" s="63"/>
      <c r="B290" s="63"/>
      <c r="C290" s="63"/>
      <c r="D290" s="1"/>
    </row>
    <row r="291">
      <c r="A291" s="63"/>
      <c r="B291" s="63"/>
      <c r="C291" s="63"/>
      <c r="D291" s="1"/>
    </row>
    <row r="292">
      <c r="A292" s="63"/>
      <c r="B292" s="63"/>
      <c r="C292" s="63"/>
      <c r="D292" s="1"/>
    </row>
    <row r="293">
      <c r="A293" s="63"/>
      <c r="B293" s="63"/>
      <c r="C293" s="63"/>
      <c r="D293" s="1"/>
    </row>
    <row r="294">
      <c r="A294" s="63"/>
      <c r="B294" s="63"/>
      <c r="C294" s="63"/>
      <c r="D294" s="1"/>
    </row>
    <row r="295">
      <c r="A295" s="63"/>
      <c r="B295" s="63"/>
      <c r="C295" s="63"/>
      <c r="D295" s="1"/>
    </row>
    <row r="296">
      <c r="A296" s="63"/>
      <c r="B296" s="63"/>
      <c r="C296" s="63"/>
      <c r="D296" s="1"/>
    </row>
    <row r="297">
      <c r="A297" s="63"/>
      <c r="B297" s="63"/>
      <c r="C297" s="63"/>
      <c r="D297" s="1"/>
    </row>
    <row r="298">
      <c r="A298" s="63"/>
      <c r="B298" s="63"/>
      <c r="C298" s="63"/>
      <c r="D298" s="1"/>
    </row>
    <row r="299">
      <c r="A299" s="63"/>
      <c r="B299" s="63"/>
      <c r="C299" s="63"/>
      <c r="D299" s="1"/>
    </row>
    <row r="300">
      <c r="A300" s="63"/>
      <c r="B300" s="63"/>
      <c r="C300" s="63"/>
      <c r="D300" s="1"/>
    </row>
    <row r="301">
      <c r="A301" s="63"/>
      <c r="B301" s="63"/>
      <c r="C301" s="63"/>
      <c r="D301" s="1"/>
    </row>
    <row r="302">
      <c r="A302" s="63"/>
      <c r="B302" s="63"/>
      <c r="C302" s="63"/>
      <c r="D302" s="1"/>
    </row>
    <row r="303">
      <c r="A303" s="63"/>
      <c r="B303" s="63"/>
      <c r="C303" s="63"/>
      <c r="D303" s="1"/>
    </row>
    <row r="304">
      <c r="A304" s="63"/>
      <c r="B304" s="63"/>
      <c r="C304" s="63"/>
      <c r="D304" s="1"/>
    </row>
    <row r="305">
      <c r="A305" s="63"/>
      <c r="B305" s="63"/>
      <c r="C305" s="63"/>
      <c r="D305" s="1"/>
    </row>
    <row r="306">
      <c r="A306" s="63"/>
      <c r="B306" s="63"/>
      <c r="C306" s="63"/>
      <c r="D306" s="1"/>
    </row>
    <row r="307">
      <c r="A307" s="63"/>
      <c r="B307" s="63"/>
      <c r="C307" s="63"/>
      <c r="D307" s="1"/>
    </row>
    <row r="308">
      <c r="A308" s="63"/>
      <c r="B308" s="63"/>
      <c r="C308" s="63"/>
      <c r="D308" s="1"/>
    </row>
    <row r="309">
      <c r="A309" s="63"/>
      <c r="B309" s="63"/>
      <c r="C309" s="63"/>
      <c r="D309" s="1"/>
    </row>
    <row r="310">
      <c r="A310" s="63"/>
      <c r="B310" s="63"/>
      <c r="C310" s="63"/>
      <c r="D310" s="1"/>
    </row>
    <row r="311">
      <c r="A311" s="63"/>
      <c r="B311" s="63"/>
      <c r="C311" s="63"/>
      <c r="D311" s="1"/>
    </row>
    <row r="312">
      <c r="A312" s="63"/>
      <c r="B312" s="63"/>
      <c r="C312" s="63"/>
      <c r="D312" s="1"/>
    </row>
    <row r="313">
      <c r="A313" s="63"/>
      <c r="B313" s="63"/>
      <c r="C313" s="63"/>
      <c r="D313" s="1"/>
    </row>
    <row r="314">
      <c r="A314" s="63"/>
      <c r="B314" s="63"/>
      <c r="C314" s="63"/>
      <c r="D314" s="1"/>
    </row>
    <row r="315">
      <c r="A315" s="63"/>
      <c r="B315" s="63"/>
      <c r="C315" s="63"/>
      <c r="D315" s="1"/>
    </row>
    <row r="316">
      <c r="A316" s="63"/>
      <c r="B316" s="63"/>
      <c r="C316" s="63"/>
      <c r="D316" s="1"/>
    </row>
    <row r="317">
      <c r="A317" s="63"/>
      <c r="B317" s="63"/>
      <c r="C317" s="63"/>
      <c r="D317" s="1"/>
    </row>
    <row r="318">
      <c r="A318" s="63"/>
      <c r="B318" s="63"/>
      <c r="C318" s="63"/>
      <c r="D318" s="1"/>
    </row>
    <row r="319">
      <c r="A319" s="63"/>
      <c r="B319" s="63"/>
      <c r="C319" s="63"/>
      <c r="D319" s="1"/>
    </row>
    <row r="320">
      <c r="A320" s="63"/>
      <c r="B320" s="63"/>
      <c r="C320" s="63"/>
      <c r="D320" s="1"/>
    </row>
    <row r="321">
      <c r="A321" s="63"/>
      <c r="B321" s="63"/>
      <c r="C321" s="63"/>
      <c r="D321" s="1"/>
    </row>
    <row r="322">
      <c r="A322" s="63"/>
      <c r="B322" s="63"/>
      <c r="C322" s="63"/>
      <c r="D322" s="1"/>
    </row>
    <row r="323">
      <c r="A323" s="63"/>
      <c r="B323" s="63"/>
      <c r="C323" s="63"/>
      <c r="D323" s="1"/>
    </row>
    <row r="324">
      <c r="A324" s="63"/>
      <c r="B324" s="63"/>
      <c r="C324" s="63"/>
      <c r="D324" s="1"/>
    </row>
    <row r="325">
      <c r="A325" s="63"/>
      <c r="B325" s="63"/>
      <c r="C325" s="63"/>
      <c r="D325" s="1"/>
    </row>
    <row r="326">
      <c r="A326" s="63"/>
      <c r="B326" s="63"/>
      <c r="C326" s="63"/>
      <c r="D326" s="1"/>
    </row>
    <row r="327">
      <c r="A327" s="63"/>
      <c r="B327" s="63"/>
      <c r="C327" s="63"/>
      <c r="D327" s="1"/>
    </row>
    <row r="328">
      <c r="A328" s="63"/>
      <c r="B328" s="63"/>
      <c r="C328" s="63"/>
      <c r="D328" s="1"/>
    </row>
    <row r="329">
      <c r="A329" s="63"/>
      <c r="B329" s="63"/>
      <c r="C329" s="63"/>
      <c r="D329" s="1"/>
    </row>
    <row r="330">
      <c r="A330" s="63"/>
      <c r="B330" s="63"/>
      <c r="C330" s="63"/>
      <c r="D330" s="1"/>
    </row>
    <row r="331">
      <c r="A331" s="63"/>
      <c r="B331" s="63"/>
      <c r="C331" s="63"/>
      <c r="D331" s="1"/>
    </row>
    <row r="332">
      <c r="A332" s="63"/>
      <c r="B332" s="63"/>
      <c r="C332" s="63"/>
      <c r="D332" s="1"/>
    </row>
    <row r="333">
      <c r="A333" s="63"/>
      <c r="B333" s="63"/>
      <c r="C333" s="63"/>
      <c r="D333" s="1"/>
    </row>
    <row r="334">
      <c r="A334" s="63"/>
      <c r="B334" s="63"/>
      <c r="C334" s="63"/>
      <c r="D334" s="1"/>
    </row>
    <row r="335">
      <c r="A335" s="63"/>
      <c r="B335" s="63"/>
      <c r="C335" s="63"/>
      <c r="D335" s="1"/>
    </row>
    <row r="336">
      <c r="A336" s="63"/>
      <c r="B336" s="63"/>
      <c r="C336" s="63"/>
      <c r="D336" s="1"/>
    </row>
    <row r="337">
      <c r="A337" s="63"/>
      <c r="B337" s="63"/>
      <c r="C337" s="63"/>
      <c r="D337" s="1"/>
    </row>
    <row r="338">
      <c r="A338" s="63"/>
      <c r="B338" s="63"/>
      <c r="C338" s="63"/>
      <c r="D338" s="1"/>
    </row>
    <row r="339">
      <c r="A339" s="63"/>
      <c r="B339" s="63"/>
      <c r="C339" s="63"/>
      <c r="D339" s="1"/>
    </row>
    <row r="340">
      <c r="A340" s="63"/>
      <c r="B340" s="63"/>
      <c r="C340" s="63"/>
      <c r="D340" s="1"/>
    </row>
    <row r="341">
      <c r="A341" s="63"/>
      <c r="B341" s="63"/>
      <c r="C341" s="63"/>
      <c r="D341" s="1"/>
    </row>
    <row r="342">
      <c r="A342" s="63"/>
      <c r="B342" s="63"/>
      <c r="C342" s="63"/>
      <c r="D342" s="1"/>
    </row>
    <row r="343">
      <c r="A343" s="63"/>
      <c r="B343" s="63"/>
      <c r="C343" s="63"/>
      <c r="D343" s="1"/>
    </row>
    <row r="344">
      <c r="A344" s="63"/>
      <c r="B344" s="63"/>
      <c r="C344" s="63"/>
      <c r="D344" s="1"/>
    </row>
    <row r="345">
      <c r="A345" s="63"/>
      <c r="B345" s="63"/>
      <c r="C345" s="63"/>
      <c r="D345" s="1"/>
    </row>
    <row r="346">
      <c r="A346" s="63"/>
      <c r="B346" s="63"/>
      <c r="C346" s="63"/>
      <c r="D346" s="1"/>
    </row>
    <row r="347">
      <c r="A347" s="63"/>
      <c r="B347" s="63"/>
      <c r="C347" s="63"/>
      <c r="D347" s="1"/>
    </row>
    <row r="348">
      <c r="A348" s="63"/>
      <c r="B348" s="63"/>
      <c r="C348" s="63"/>
      <c r="D348" s="1"/>
    </row>
    <row r="349">
      <c r="A349" s="63"/>
      <c r="B349" s="63"/>
      <c r="C349" s="63"/>
      <c r="D349" s="1"/>
    </row>
    <row r="350">
      <c r="A350" s="63"/>
      <c r="B350" s="63"/>
      <c r="C350" s="63"/>
      <c r="D350" s="1"/>
    </row>
    <row r="351">
      <c r="A351" s="63"/>
      <c r="B351" s="63"/>
      <c r="C351" s="63"/>
      <c r="D351" s="1"/>
    </row>
    <row r="352">
      <c r="A352" s="63"/>
      <c r="B352" s="63"/>
      <c r="C352" s="63"/>
      <c r="D352" s="1"/>
    </row>
    <row r="353">
      <c r="A353" s="63"/>
      <c r="B353" s="63"/>
      <c r="C353" s="63"/>
      <c r="D353" s="1"/>
    </row>
    <row r="354">
      <c r="A354" s="63"/>
      <c r="B354" s="63"/>
      <c r="C354" s="63"/>
      <c r="D354" s="1"/>
    </row>
    <row r="355">
      <c r="A355" s="63"/>
      <c r="B355" s="63"/>
      <c r="C355" s="63"/>
      <c r="D355" s="1"/>
    </row>
    <row r="356">
      <c r="A356" s="63"/>
      <c r="B356" s="63"/>
      <c r="C356" s="63"/>
      <c r="D356" s="1"/>
    </row>
    <row r="357">
      <c r="A357" s="63"/>
      <c r="B357" s="63"/>
      <c r="C357" s="63"/>
      <c r="D357" s="1"/>
    </row>
    <row r="358">
      <c r="A358" s="63"/>
      <c r="B358" s="63"/>
      <c r="C358" s="63"/>
      <c r="D358" s="1"/>
    </row>
    <row r="359">
      <c r="A359" s="63"/>
      <c r="B359" s="63"/>
      <c r="C359" s="63"/>
      <c r="D359" s="1"/>
    </row>
    <row r="360">
      <c r="A360" s="63"/>
      <c r="B360" s="63"/>
      <c r="C360" s="63"/>
      <c r="D360" s="1"/>
    </row>
    <row r="361">
      <c r="A361" s="63"/>
      <c r="B361" s="63"/>
      <c r="C361" s="63"/>
      <c r="D361" s="1"/>
    </row>
    <row r="362">
      <c r="A362" s="63"/>
      <c r="B362" s="63"/>
      <c r="C362" s="63"/>
      <c r="D362" s="1"/>
    </row>
    <row r="363">
      <c r="A363" s="63"/>
      <c r="B363" s="63"/>
      <c r="C363" s="63"/>
      <c r="D363" s="1"/>
    </row>
    <row r="364">
      <c r="A364" s="63"/>
      <c r="B364" s="63"/>
      <c r="C364" s="63"/>
      <c r="D364" s="1"/>
    </row>
    <row r="365">
      <c r="A365" s="63"/>
      <c r="B365" s="63"/>
      <c r="C365" s="63"/>
      <c r="D365" s="1"/>
    </row>
    <row r="366">
      <c r="A366" s="63"/>
      <c r="B366" s="63"/>
      <c r="C366" s="63"/>
      <c r="D366" s="1"/>
    </row>
    <row r="367">
      <c r="A367" s="63"/>
      <c r="B367" s="63"/>
      <c r="C367" s="63"/>
      <c r="D367" s="1"/>
    </row>
    <row r="368">
      <c r="A368" s="63"/>
      <c r="B368" s="63"/>
      <c r="C368" s="63"/>
      <c r="D368" s="1"/>
    </row>
    <row r="369">
      <c r="A369" s="63"/>
      <c r="B369" s="63"/>
      <c r="C369" s="63"/>
      <c r="D369" s="1"/>
    </row>
    <row r="370">
      <c r="A370" s="63"/>
      <c r="B370" s="63"/>
      <c r="C370" s="63"/>
      <c r="D370" s="1"/>
    </row>
    <row r="371">
      <c r="A371" s="63"/>
      <c r="B371" s="63"/>
      <c r="C371" s="63"/>
      <c r="D371" s="1"/>
    </row>
    <row r="372">
      <c r="A372" s="63"/>
      <c r="B372" s="63"/>
      <c r="C372" s="63"/>
      <c r="D372" s="1"/>
    </row>
    <row r="373">
      <c r="A373" s="63"/>
      <c r="B373" s="63"/>
      <c r="C373" s="63"/>
      <c r="D373" s="1"/>
    </row>
    <row r="374">
      <c r="A374" s="63"/>
      <c r="B374" s="63"/>
      <c r="C374" s="63"/>
      <c r="D374" s="1"/>
    </row>
    <row r="375">
      <c r="A375" s="63"/>
      <c r="B375" s="63"/>
      <c r="C375" s="63"/>
      <c r="D375" s="1"/>
    </row>
    <row r="376">
      <c r="A376" s="63"/>
      <c r="B376" s="63"/>
      <c r="C376" s="63"/>
      <c r="D376" s="1"/>
    </row>
    <row r="377">
      <c r="A377" s="63"/>
      <c r="B377" s="63"/>
      <c r="C377" s="63"/>
      <c r="D377" s="1"/>
    </row>
    <row r="378">
      <c r="A378" s="63"/>
      <c r="B378" s="63"/>
      <c r="C378" s="63"/>
      <c r="D378" s="1"/>
    </row>
    <row r="379">
      <c r="A379" s="63"/>
      <c r="B379" s="63"/>
      <c r="C379" s="63"/>
      <c r="D379" s="1"/>
    </row>
    <row r="380">
      <c r="A380" s="63"/>
      <c r="B380" s="63"/>
      <c r="C380" s="63"/>
      <c r="D380" s="1"/>
    </row>
    <row r="381">
      <c r="A381" s="63"/>
      <c r="B381" s="63"/>
      <c r="C381" s="63"/>
      <c r="D381" s="1"/>
    </row>
    <row r="382">
      <c r="A382" s="63"/>
      <c r="B382" s="63"/>
      <c r="C382" s="63"/>
      <c r="D382" s="1"/>
    </row>
    <row r="383">
      <c r="A383" s="63"/>
      <c r="B383" s="63"/>
      <c r="C383" s="63"/>
      <c r="D383" s="1"/>
    </row>
    <row r="384">
      <c r="A384" s="63"/>
      <c r="B384" s="63"/>
      <c r="C384" s="63"/>
      <c r="D384" s="1"/>
    </row>
    <row r="385">
      <c r="A385" s="63"/>
      <c r="B385" s="63"/>
      <c r="C385" s="63"/>
      <c r="D385" s="1"/>
    </row>
    <row r="386">
      <c r="A386" s="63"/>
      <c r="B386" s="63"/>
      <c r="C386" s="63"/>
      <c r="D386" s="1"/>
    </row>
    <row r="387">
      <c r="A387" s="63"/>
      <c r="B387" s="63"/>
      <c r="C387" s="63"/>
      <c r="D387" s="1"/>
    </row>
    <row r="388">
      <c r="A388" s="63"/>
      <c r="B388" s="63"/>
      <c r="C388" s="63"/>
      <c r="D388" s="1"/>
    </row>
    <row r="389">
      <c r="A389" s="63"/>
      <c r="B389" s="63"/>
      <c r="C389" s="63"/>
      <c r="D389" s="1"/>
    </row>
    <row r="390">
      <c r="A390" s="63"/>
      <c r="B390" s="63"/>
      <c r="C390" s="63"/>
      <c r="D390" s="1"/>
    </row>
    <row r="391">
      <c r="A391" s="63"/>
      <c r="B391" s="63"/>
      <c r="C391" s="63"/>
      <c r="D391" s="1"/>
    </row>
    <row r="392">
      <c r="A392" s="63"/>
      <c r="B392" s="63"/>
      <c r="C392" s="63"/>
      <c r="D392" s="1"/>
    </row>
    <row r="393">
      <c r="A393" s="63"/>
      <c r="B393" s="63"/>
      <c r="C393" s="63"/>
      <c r="D393" s="1"/>
    </row>
    <row r="394">
      <c r="A394" s="63"/>
      <c r="B394" s="63"/>
      <c r="C394" s="63"/>
      <c r="D394" s="1"/>
    </row>
    <row r="395">
      <c r="A395" s="63"/>
      <c r="B395" s="63"/>
      <c r="C395" s="63"/>
      <c r="D395" s="1"/>
    </row>
    <row r="396">
      <c r="A396" s="63"/>
      <c r="B396" s="63"/>
      <c r="C396" s="63"/>
      <c r="D396" s="1"/>
    </row>
    <row r="397">
      <c r="A397" s="63"/>
      <c r="B397" s="63"/>
      <c r="C397" s="63"/>
      <c r="D397" s="1"/>
    </row>
    <row r="398">
      <c r="A398" s="63"/>
      <c r="B398" s="63"/>
      <c r="C398" s="63"/>
      <c r="D398" s="1"/>
    </row>
    <row r="399">
      <c r="A399" s="63"/>
      <c r="B399" s="63"/>
      <c r="C399" s="63"/>
      <c r="D399" s="1"/>
    </row>
    <row r="400">
      <c r="A400" s="63"/>
      <c r="B400" s="63"/>
      <c r="C400" s="63"/>
      <c r="D400" s="1"/>
    </row>
    <row r="401">
      <c r="A401" s="63"/>
      <c r="B401" s="63"/>
      <c r="C401" s="63"/>
      <c r="D401" s="1"/>
    </row>
    <row r="402">
      <c r="A402" s="63"/>
      <c r="B402" s="63"/>
      <c r="C402" s="63"/>
      <c r="D402" s="1"/>
    </row>
    <row r="403">
      <c r="A403" s="63"/>
      <c r="B403" s="63"/>
      <c r="C403" s="63"/>
      <c r="D403" s="1"/>
    </row>
    <row r="404">
      <c r="A404" s="63"/>
      <c r="B404" s="63"/>
      <c r="C404" s="63"/>
      <c r="D404" s="1"/>
    </row>
    <row r="405">
      <c r="A405" s="63"/>
      <c r="B405" s="63"/>
      <c r="C405" s="63"/>
      <c r="D405" s="1"/>
    </row>
    <row r="406">
      <c r="A406" s="63"/>
      <c r="B406" s="63"/>
      <c r="C406" s="63"/>
      <c r="D406" s="1"/>
    </row>
    <row r="407">
      <c r="A407" s="63"/>
      <c r="B407" s="63"/>
      <c r="C407" s="63"/>
      <c r="D407" s="1"/>
    </row>
    <row r="408">
      <c r="A408" s="63"/>
      <c r="B408" s="63"/>
      <c r="C408" s="63"/>
      <c r="D408" s="1"/>
    </row>
    <row r="409">
      <c r="A409" s="63"/>
      <c r="B409" s="63"/>
      <c r="C409" s="63"/>
      <c r="D409" s="1"/>
    </row>
    <row r="410">
      <c r="A410" s="63"/>
      <c r="B410" s="63"/>
      <c r="C410" s="63"/>
      <c r="D410" s="1"/>
    </row>
    <row r="411">
      <c r="A411" s="63"/>
      <c r="B411" s="63"/>
      <c r="C411" s="63"/>
      <c r="D411" s="1"/>
    </row>
    <row r="412">
      <c r="A412" s="63"/>
      <c r="B412" s="63"/>
      <c r="C412" s="63"/>
      <c r="D412" s="1"/>
    </row>
    <row r="413">
      <c r="A413" s="63"/>
      <c r="B413" s="63"/>
      <c r="C413" s="63"/>
      <c r="D413" s="1"/>
    </row>
    <row r="414">
      <c r="A414" s="63"/>
      <c r="B414" s="63"/>
      <c r="C414" s="63"/>
      <c r="D414" s="1"/>
    </row>
    <row r="415">
      <c r="A415" s="63"/>
      <c r="B415" s="63"/>
      <c r="C415" s="63"/>
      <c r="D415" s="1"/>
    </row>
    <row r="416">
      <c r="A416" s="63"/>
      <c r="B416" s="63"/>
      <c r="C416" s="63"/>
      <c r="D416" s="1"/>
    </row>
    <row r="417">
      <c r="A417" s="63"/>
      <c r="B417" s="63"/>
      <c r="C417" s="63"/>
      <c r="D417" s="1"/>
    </row>
    <row r="418">
      <c r="A418" s="63"/>
      <c r="B418" s="63"/>
      <c r="C418" s="63"/>
      <c r="D418" s="1"/>
    </row>
    <row r="419">
      <c r="A419" s="63"/>
      <c r="B419" s="63"/>
      <c r="C419" s="63"/>
      <c r="D419" s="1"/>
    </row>
    <row r="420">
      <c r="A420" s="63"/>
      <c r="B420" s="63"/>
      <c r="C420" s="63"/>
      <c r="D420" s="1"/>
    </row>
    <row r="421">
      <c r="A421" s="63"/>
      <c r="B421" s="63"/>
      <c r="C421" s="63"/>
      <c r="D421" s="1"/>
    </row>
    <row r="422">
      <c r="A422" s="63"/>
      <c r="B422" s="63"/>
      <c r="C422" s="63"/>
      <c r="D422" s="1"/>
    </row>
    <row r="423">
      <c r="A423" s="63"/>
      <c r="B423" s="63"/>
      <c r="C423" s="63"/>
      <c r="D423" s="1"/>
    </row>
    <row r="424">
      <c r="A424" s="63"/>
      <c r="B424" s="63"/>
      <c r="C424" s="63"/>
      <c r="D424" s="1"/>
    </row>
    <row r="425">
      <c r="A425" s="63"/>
      <c r="B425" s="63"/>
      <c r="C425" s="63"/>
      <c r="D425" s="1"/>
    </row>
    <row r="426">
      <c r="A426" s="63"/>
      <c r="B426" s="63"/>
      <c r="C426" s="63"/>
      <c r="D426" s="1"/>
    </row>
    <row r="427">
      <c r="A427" s="63"/>
      <c r="B427" s="63"/>
      <c r="C427" s="63"/>
      <c r="D427" s="1"/>
    </row>
    <row r="428">
      <c r="A428" s="63"/>
      <c r="B428" s="63"/>
      <c r="C428" s="63"/>
      <c r="D428" s="1"/>
    </row>
    <row r="429">
      <c r="A429" s="63"/>
      <c r="B429" s="63"/>
      <c r="C429" s="63"/>
      <c r="D429" s="1"/>
    </row>
    <row r="430">
      <c r="A430" s="63"/>
      <c r="B430" s="63"/>
      <c r="C430" s="63"/>
      <c r="D430" s="1"/>
    </row>
    <row r="431">
      <c r="A431" s="63"/>
      <c r="B431" s="63"/>
      <c r="C431" s="63"/>
      <c r="D431" s="1"/>
    </row>
    <row r="432">
      <c r="A432" s="63"/>
      <c r="B432" s="63"/>
      <c r="C432" s="63"/>
      <c r="D432" s="1"/>
    </row>
    <row r="433">
      <c r="A433" s="63"/>
      <c r="B433" s="63"/>
      <c r="C433" s="63"/>
      <c r="D433" s="1"/>
    </row>
    <row r="434">
      <c r="A434" s="63"/>
      <c r="B434" s="63"/>
      <c r="C434" s="63"/>
      <c r="D434" s="1"/>
    </row>
    <row r="435">
      <c r="A435" s="63"/>
      <c r="B435" s="63"/>
      <c r="C435" s="63"/>
      <c r="D435" s="1"/>
    </row>
    <row r="436">
      <c r="A436" s="63"/>
      <c r="B436" s="63"/>
      <c r="C436" s="63"/>
      <c r="D436" s="1"/>
    </row>
    <row r="437">
      <c r="A437" s="63"/>
      <c r="B437" s="63"/>
      <c r="C437" s="63"/>
      <c r="D437" s="1"/>
    </row>
    <row r="438">
      <c r="A438" s="63"/>
      <c r="B438" s="63"/>
      <c r="C438" s="63"/>
      <c r="D438" s="1"/>
    </row>
    <row r="439">
      <c r="A439" s="63"/>
      <c r="B439" s="63"/>
      <c r="C439" s="63"/>
      <c r="D439" s="1"/>
    </row>
    <row r="440">
      <c r="A440" s="63"/>
      <c r="B440" s="63"/>
      <c r="C440" s="63"/>
      <c r="D440" s="1"/>
    </row>
    <row r="441">
      <c r="A441" s="63"/>
      <c r="B441" s="63"/>
      <c r="C441" s="63"/>
      <c r="D441" s="1"/>
    </row>
    <row r="442">
      <c r="A442" s="63"/>
      <c r="B442" s="63"/>
      <c r="C442" s="63"/>
      <c r="D442" s="1"/>
    </row>
    <row r="443">
      <c r="A443" s="63"/>
      <c r="B443" s="63"/>
      <c r="C443" s="63"/>
      <c r="D443" s="1"/>
    </row>
    <row r="444">
      <c r="A444" s="63"/>
      <c r="B444" s="63"/>
      <c r="C444" s="63"/>
      <c r="D444" s="1"/>
    </row>
    <row r="445">
      <c r="A445" s="63"/>
      <c r="B445" s="63"/>
      <c r="C445" s="63"/>
      <c r="D445" s="1"/>
    </row>
    <row r="446">
      <c r="A446" s="63"/>
      <c r="B446" s="63"/>
      <c r="C446" s="63"/>
      <c r="D446" s="1"/>
    </row>
    <row r="447">
      <c r="A447" s="63"/>
      <c r="B447" s="63"/>
      <c r="C447" s="63"/>
      <c r="D447" s="1"/>
    </row>
    <row r="448">
      <c r="A448" s="63"/>
      <c r="B448" s="63"/>
      <c r="C448" s="63"/>
      <c r="D448" s="1"/>
    </row>
    <row r="449">
      <c r="A449" s="63"/>
      <c r="B449" s="63"/>
      <c r="C449" s="63"/>
      <c r="D449" s="1"/>
    </row>
    <row r="450">
      <c r="A450" s="63"/>
      <c r="B450" s="63"/>
      <c r="C450" s="63"/>
      <c r="D450" s="1"/>
    </row>
    <row r="451">
      <c r="A451" s="63"/>
      <c r="B451" s="63"/>
      <c r="C451" s="63"/>
      <c r="D451" s="1"/>
    </row>
    <row r="452">
      <c r="A452" s="63"/>
      <c r="B452" s="63"/>
      <c r="C452" s="63"/>
      <c r="D452" s="1"/>
    </row>
    <row r="453">
      <c r="A453" s="63"/>
      <c r="B453" s="63"/>
      <c r="C453" s="63"/>
      <c r="D453" s="1"/>
    </row>
    <row r="454">
      <c r="A454" s="63"/>
      <c r="B454" s="63"/>
      <c r="C454" s="63"/>
      <c r="D454" s="1"/>
    </row>
    <row r="455">
      <c r="A455" s="63"/>
      <c r="B455" s="63"/>
      <c r="C455" s="63"/>
      <c r="D455" s="1"/>
    </row>
    <row r="456">
      <c r="A456" s="63"/>
      <c r="B456" s="63"/>
      <c r="C456" s="63"/>
      <c r="D456" s="1"/>
    </row>
    <row r="457">
      <c r="A457" s="63"/>
      <c r="B457" s="63"/>
      <c r="C457" s="63"/>
      <c r="D457" s="1"/>
    </row>
    <row r="458">
      <c r="A458" s="63"/>
      <c r="B458" s="63"/>
      <c r="C458" s="63"/>
      <c r="D458" s="1"/>
    </row>
    <row r="459">
      <c r="A459" s="63"/>
      <c r="B459" s="63"/>
      <c r="C459" s="63"/>
      <c r="D459" s="1"/>
    </row>
    <row r="460">
      <c r="A460" s="63"/>
      <c r="B460" s="63"/>
      <c r="C460" s="63"/>
      <c r="D460" s="1"/>
    </row>
    <row r="461">
      <c r="A461" s="63"/>
      <c r="B461" s="63"/>
      <c r="C461" s="63"/>
      <c r="D461" s="1"/>
    </row>
    <row r="462">
      <c r="A462" s="63"/>
      <c r="B462" s="63"/>
      <c r="C462" s="63"/>
      <c r="D462" s="1"/>
    </row>
    <row r="463">
      <c r="A463" s="63"/>
      <c r="B463" s="63"/>
      <c r="C463" s="63"/>
      <c r="D463" s="1"/>
    </row>
    <row r="464">
      <c r="A464" s="63"/>
      <c r="B464" s="63"/>
      <c r="C464" s="63"/>
      <c r="D464" s="1"/>
    </row>
    <row r="465">
      <c r="A465" s="63"/>
      <c r="B465" s="63"/>
      <c r="C465" s="63"/>
      <c r="D465" s="1"/>
    </row>
    <row r="466">
      <c r="A466" s="63"/>
      <c r="B466" s="63"/>
      <c r="C466" s="63"/>
      <c r="D466" s="1"/>
    </row>
    <row r="467">
      <c r="A467" s="63"/>
      <c r="B467" s="63"/>
      <c r="C467" s="63"/>
      <c r="D467" s="1"/>
    </row>
    <row r="468">
      <c r="A468" s="63"/>
      <c r="B468" s="63"/>
      <c r="C468" s="63"/>
      <c r="D468" s="1"/>
    </row>
    <row r="469">
      <c r="A469" s="63"/>
      <c r="B469" s="63"/>
      <c r="C469" s="63"/>
      <c r="D469" s="1"/>
    </row>
    <row r="470">
      <c r="A470" s="63"/>
      <c r="B470" s="63"/>
      <c r="C470" s="63"/>
      <c r="D470" s="1"/>
    </row>
    <row r="471">
      <c r="A471" s="63"/>
      <c r="B471" s="63"/>
      <c r="C471" s="63"/>
      <c r="D471" s="1"/>
    </row>
    <row r="472">
      <c r="A472" s="63"/>
      <c r="B472" s="63"/>
      <c r="C472" s="63"/>
      <c r="D472" s="1"/>
    </row>
    <row r="473">
      <c r="A473" s="63"/>
      <c r="B473" s="63"/>
      <c r="C473" s="63"/>
      <c r="D473" s="1"/>
    </row>
    <row r="474">
      <c r="A474" s="63"/>
      <c r="B474" s="63"/>
      <c r="C474" s="63"/>
      <c r="D474" s="1"/>
    </row>
    <row r="475">
      <c r="A475" s="63"/>
      <c r="B475" s="63"/>
      <c r="C475" s="63"/>
      <c r="D475" s="1"/>
    </row>
    <row r="476">
      <c r="A476" s="63"/>
      <c r="B476" s="63"/>
      <c r="C476" s="63"/>
      <c r="D476" s="1"/>
    </row>
    <row r="477">
      <c r="A477" s="63"/>
      <c r="B477" s="63"/>
      <c r="C477" s="63"/>
      <c r="D477" s="1"/>
    </row>
    <row r="478">
      <c r="A478" s="63"/>
      <c r="B478" s="63"/>
      <c r="C478" s="63"/>
      <c r="D478" s="1"/>
    </row>
    <row r="479">
      <c r="A479" s="63"/>
      <c r="B479" s="63"/>
      <c r="C479" s="63"/>
      <c r="D479" s="1"/>
    </row>
    <row r="480">
      <c r="A480" s="63"/>
      <c r="B480" s="63"/>
      <c r="C480" s="63"/>
      <c r="D480" s="1"/>
    </row>
    <row r="481">
      <c r="A481" s="63"/>
      <c r="B481" s="63"/>
      <c r="C481" s="63"/>
      <c r="D481" s="1"/>
    </row>
    <row r="482">
      <c r="A482" s="63"/>
      <c r="B482" s="63"/>
      <c r="C482" s="63"/>
      <c r="D482" s="1"/>
    </row>
    <row r="483">
      <c r="A483" s="63"/>
      <c r="B483" s="63"/>
      <c r="C483" s="63"/>
      <c r="D483" s="1"/>
    </row>
    <row r="484">
      <c r="A484" s="63"/>
      <c r="B484" s="63"/>
      <c r="C484" s="63"/>
      <c r="D484" s="1"/>
    </row>
    <row r="485">
      <c r="A485" s="63"/>
      <c r="B485" s="63"/>
      <c r="C485" s="63"/>
      <c r="D485" s="1"/>
    </row>
    <row r="486">
      <c r="A486" s="63"/>
      <c r="B486" s="63"/>
      <c r="C486" s="63"/>
      <c r="D486" s="1"/>
    </row>
    <row r="487">
      <c r="A487" s="63"/>
      <c r="B487" s="63"/>
      <c r="C487" s="63"/>
      <c r="D487" s="1"/>
    </row>
    <row r="488">
      <c r="A488" s="63"/>
      <c r="B488" s="63"/>
      <c r="C488" s="63"/>
      <c r="D488" s="1"/>
    </row>
    <row r="489">
      <c r="A489" s="63"/>
      <c r="B489" s="63"/>
      <c r="C489" s="63"/>
      <c r="D489" s="1"/>
    </row>
    <row r="490">
      <c r="A490" s="63"/>
      <c r="B490" s="63"/>
      <c r="C490" s="63"/>
      <c r="D490" s="1"/>
    </row>
    <row r="491">
      <c r="A491" s="63"/>
      <c r="B491" s="63"/>
      <c r="C491" s="63"/>
      <c r="D491" s="1"/>
    </row>
    <row r="492">
      <c r="A492" s="63"/>
      <c r="B492" s="63"/>
      <c r="C492" s="63"/>
      <c r="D492" s="1"/>
    </row>
    <row r="493">
      <c r="A493" s="63"/>
      <c r="B493" s="63"/>
      <c r="C493" s="63"/>
      <c r="D493" s="1"/>
    </row>
    <row r="494">
      <c r="A494" s="63"/>
      <c r="B494" s="63"/>
      <c r="C494" s="63"/>
      <c r="D494" s="1"/>
    </row>
    <row r="495">
      <c r="A495" s="63"/>
      <c r="B495" s="63"/>
      <c r="C495" s="63"/>
      <c r="D495" s="1"/>
    </row>
    <row r="496">
      <c r="A496" s="63"/>
      <c r="B496" s="63"/>
      <c r="C496" s="63"/>
      <c r="D496" s="1"/>
    </row>
    <row r="497">
      <c r="A497" s="63"/>
      <c r="B497" s="63"/>
      <c r="C497" s="63"/>
      <c r="D497" s="1"/>
    </row>
    <row r="498">
      <c r="A498" s="63"/>
      <c r="B498" s="63"/>
      <c r="C498" s="63"/>
      <c r="D498" s="1"/>
    </row>
    <row r="499">
      <c r="A499" s="63"/>
      <c r="B499" s="63"/>
      <c r="C499" s="63"/>
      <c r="D499" s="1"/>
    </row>
    <row r="500">
      <c r="A500" s="63"/>
      <c r="B500" s="63"/>
      <c r="C500" s="63"/>
      <c r="D500" s="1"/>
    </row>
    <row r="501">
      <c r="A501" s="63"/>
      <c r="B501" s="63"/>
      <c r="C501" s="63"/>
      <c r="D501" s="1"/>
    </row>
    <row r="502">
      <c r="A502" s="63"/>
      <c r="B502" s="63"/>
      <c r="C502" s="63"/>
      <c r="D502" s="1"/>
    </row>
    <row r="503">
      <c r="A503" s="63"/>
      <c r="B503" s="63"/>
      <c r="C503" s="63"/>
      <c r="D503" s="1"/>
    </row>
    <row r="504">
      <c r="A504" s="63"/>
      <c r="B504" s="63"/>
      <c r="C504" s="63"/>
      <c r="D504" s="1"/>
    </row>
    <row r="505">
      <c r="A505" s="63"/>
      <c r="B505" s="63"/>
      <c r="C505" s="63"/>
      <c r="D505" s="1"/>
    </row>
    <row r="506">
      <c r="A506" s="63"/>
      <c r="B506" s="63"/>
      <c r="C506" s="63"/>
      <c r="D506" s="1"/>
    </row>
    <row r="507">
      <c r="A507" s="63"/>
      <c r="B507" s="63"/>
      <c r="C507" s="63"/>
      <c r="D507" s="1"/>
    </row>
    <row r="508">
      <c r="A508" s="63"/>
      <c r="B508" s="63"/>
      <c r="C508" s="63"/>
      <c r="D508" s="1"/>
    </row>
    <row r="509">
      <c r="A509" s="63"/>
      <c r="B509" s="63"/>
      <c r="C509" s="63"/>
      <c r="D509" s="1"/>
    </row>
    <row r="510">
      <c r="A510" s="63"/>
      <c r="B510" s="63"/>
      <c r="C510" s="63"/>
      <c r="D510" s="1"/>
    </row>
    <row r="511">
      <c r="A511" s="63"/>
      <c r="B511" s="63"/>
      <c r="C511" s="63"/>
      <c r="D511" s="1"/>
    </row>
    <row r="512">
      <c r="A512" s="63"/>
      <c r="B512" s="63"/>
      <c r="C512" s="63"/>
      <c r="D512" s="1"/>
    </row>
    <row r="513">
      <c r="A513" s="63"/>
      <c r="B513" s="63"/>
      <c r="C513" s="63"/>
      <c r="D513" s="1"/>
    </row>
    <row r="514">
      <c r="A514" s="63"/>
      <c r="B514" s="63"/>
      <c r="C514" s="63"/>
      <c r="D514" s="1"/>
    </row>
    <row r="515">
      <c r="A515" s="63"/>
      <c r="B515" s="63"/>
      <c r="C515" s="63"/>
      <c r="D515" s="1"/>
    </row>
    <row r="516">
      <c r="A516" s="63"/>
      <c r="B516" s="63"/>
      <c r="C516" s="63"/>
      <c r="D516" s="1"/>
    </row>
    <row r="517">
      <c r="A517" s="63"/>
      <c r="B517" s="63"/>
      <c r="C517" s="63"/>
      <c r="D517" s="1"/>
    </row>
    <row r="518">
      <c r="A518" s="63"/>
      <c r="B518" s="63"/>
      <c r="C518" s="63"/>
      <c r="D518" s="1"/>
    </row>
    <row r="519">
      <c r="A519" s="63"/>
      <c r="B519" s="63"/>
      <c r="C519" s="63"/>
      <c r="D519" s="1"/>
    </row>
    <row r="520">
      <c r="A520" s="63"/>
      <c r="B520" s="63"/>
      <c r="C520" s="63"/>
      <c r="D520" s="1"/>
    </row>
    <row r="521">
      <c r="A521" s="63"/>
      <c r="B521" s="63"/>
      <c r="C521" s="63"/>
      <c r="D521" s="1"/>
    </row>
    <row r="522">
      <c r="A522" s="63"/>
      <c r="B522" s="63"/>
      <c r="C522" s="63"/>
      <c r="D522" s="1"/>
    </row>
    <row r="523">
      <c r="A523" s="63"/>
      <c r="B523" s="63"/>
      <c r="C523" s="63"/>
      <c r="D523" s="1"/>
    </row>
    <row r="524">
      <c r="A524" s="63"/>
      <c r="B524" s="63"/>
      <c r="C524" s="63"/>
      <c r="D524" s="1"/>
    </row>
    <row r="525">
      <c r="A525" s="63"/>
      <c r="B525" s="63"/>
      <c r="C525" s="63"/>
      <c r="D525" s="1"/>
    </row>
    <row r="526">
      <c r="A526" s="63"/>
      <c r="B526" s="63"/>
      <c r="C526" s="63"/>
      <c r="D526" s="1"/>
    </row>
    <row r="527">
      <c r="A527" s="63"/>
      <c r="B527" s="63"/>
      <c r="C527" s="63"/>
      <c r="D527" s="1"/>
    </row>
    <row r="528">
      <c r="A528" s="63"/>
      <c r="B528" s="63"/>
      <c r="C528" s="63"/>
      <c r="D528" s="1"/>
    </row>
    <row r="529">
      <c r="A529" s="63"/>
      <c r="B529" s="63"/>
      <c r="C529" s="63"/>
      <c r="D529" s="1"/>
    </row>
    <row r="530">
      <c r="A530" s="63"/>
      <c r="B530" s="63"/>
      <c r="C530" s="63"/>
      <c r="D530" s="1"/>
    </row>
    <row r="531">
      <c r="A531" s="63"/>
      <c r="B531" s="63"/>
      <c r="C531" s="63"/>
      <c r="D531" s="1"/>
    </row>
    <row r="532">
      <c r="A532" s="63"/>
      <c r="B532" s="63"/>
      <c r="C532" s="63"/>
      <c r="D532" s="1"/>
    </row>
    <row r="533">
      <c r="A533" s="63"/>
      <c r="B533" s="63"/>
      <c r="C533" s="63"/>
      <c r="D533" s="1"/>
    </row>
    <row r="534">
      <c r="A534" s="63"/>
      <c r="B534" s="63"/>
      <c r="C534" s="63"/>
      <c r="D534" s="1"/>
    </row>
    <row r="535">
      <c r="A535" s="63"/>
      <c r="B535" s="63"/>
      <c r="C535" s="63"/>
      <c r="D535" s="1"/>
    </row>
    <row r="536">
      <c r="A536" s="63"/>
      <c r="B536" s="63"/>
      <c r="C536" s="63"/>
      <c r="D536" s="1"/>
    </row>
    <row r="537">
      <c r="A537" s="63"/>
      <c r="B537" s="63"/>
      <c r="C537" s="63"/>
      <c r="D537" s="1"/>
    </row>
    <row r="538">
      <c r="A538" s="63"/>
      <c r="B538" s="63"/>
      <c r="C538" s="63"/>
      <c r="D538" s="1"/>
    </row>
    <row r="539">
      <c r="A539" s="63"/>
      <c r="B539" s="63"/>
      <c r="C539" s="63"/>
      <c r="D539" s="1"/>
    </row>
    <row r="540">
      <c r="A540" s="63"/>
      <c r="B540" s="63"/>
      <c r="C540" s="63"/>
      <c r="D540" s="1"/>
    </row>
    <row r="541">
      <c r="A541" s="63"/>
      <c r="B541" s="63"/>
      <c r="C541" s="63"/>
      <c r="D541" s="1"/>
    </row>
    <row r="542">
      <c r="A542" s="63"/>
      <c r="B542" s="63"/>
      <c r="C542" s="63"/>
      <c r="D542" s="1"/>
    </row>
    <row r="543">
      <c r="A543" s="63"/>
      <c r="B543" s="63"/>
      <c r="C543" s="63"/>
      <c r="D543" s="1"/>
    </row>
    <row r="544">
      <c r="A544" s="63"/>
      <c r="B544" s="63"/>
      <c r="C544" s="63"/>
      <c r="D544" s="1"/>
    </row>
    <row r="545">
      <c r="A545" s="63"/>
      <c r="B545" s="63"/>
      <c r="C545" s="63"/>
      <c r="D545" s="1"/>
    </row>
    <row r="546">
      <c r="A546" s="63"/>
      <c r="B546" s="63"/>
      <c r="C546" s="63"/>
      <c r="D546" s="1"/>
    </row>
    <row r="547">
      <c r="A547" s="63"/>
      <c r="B547" s="63"/>
      <c r="C547" s="63"/>
      <c r="D547" s="1"/>
    </row>
    <row r="548">
      <c r="A548" s="63"/>
      <c r="B548" s="63"/>
      <c r="C548" s="63"/>
      <c r="D548" s="1"/>
    </row>
    <row r="549">
      <c r="A549" s="63"/>
      <c r="B549" s="63"/>
      <c r="C549" s="63"/>
      <c r="D549" s="1"/>
    </row>
    <row r="550">
      <c r="A550" s="63"/>
      <c r="B550" s="63"/>
      <c r="C550" s="63"/>
      <c r="D550" s="1"/>
    </row>
    <row r="551">
      <c r="A551" s="63"/>
      <c r="B551" s="63"/>
      <c r="C551" s="63"/>
      <c r="D551" s="1"/>
    </row>
    <row r="552">
      <c r="A552" s="63"/>
      <c r="B552" s="63"/>
      <c r="C552" s="63"/>
      <c r="D552" s="1"/>
    </row>
    <row r="553">
      <c r="A553" s="63"/>
      <c r="B553" s="63"/>
      <c r="C553" s="63"/>
      <c r="D553" s="1"/>
    </row>
    <row r="554">
      <c r="A554" s="63"/>
      <c r="B554" s="63"/>
      <c r="C554" s="63"/>
      <c r="D554" s="1"/>
    </row>
    <row r="555">
      <c r="A555" s="63"/>
      <c r="B555" s="63"/>
      <c r="C555" s="63"/>
      <c r="D555" s="1"/>
    </row>
    <row r="556">
      <c r="A556" s="63"/>
      <c r="B556" s="63"/>
      <c r="C556" s="63"/>
      <c r="D556" s="1"/>
    </row>
    <row r="557">
      <c r="A557" s="63"/>
      <c r="B557" s="63"/>
      <c r="C557" s="63"/>
      <c r="D557" s="1"/>
    </row>
    <row r="558">
      <c r="A558" s="63"/>
      <c r="B558" s="63"/>
      <c r="C558" s="63"/>
      <c r="D558" s="1"/>
    </row>
    <row r="559">
      <c r="A559" s="63"/>
      <c r="B559" s="63"/>
      <c r="C559" s="63"/>
      <c r="D559" s="1"/>
    </row>
    <row r="560">
      <c r="A560" s="63"/>
      <c r="B560" s="63"/>
      <c r="C560" s="63"/>
      <c r="D560" s="1"/>
    </row>
    <row r="561">
      <c r="A561" s="63"/>
      <c r="B561" s="63"/>
      <c r="C561" s="63"/>
      <c r="D561" s="1"/>
    </row>
    <row r="562">
      <c r="A562" s="63"/>
      <c r="B562" s="63"/>
      <c r="C562" s="63"/>
      <c r="D562" s="1"/>
    </row>
    <row r="563">
      <c r="A563" s="63"/>
      <c r="B563" s="63"/>
      <c r="C563" s="63"/>
      <c r="D563" s="1"/>
    </row>
    <row r="564">
      <c r="A564" s="63"/>
      <c r="B564" s="63"/>
      <c r="C564" s="63"/>
      <c r="D564" s="1"/>
    </row>
    <row r="565">
      <c r="A565" s="63"/>
      <c r="B565" s="63"/>
      <c r="C565" s="63"/>
      <c r="D565" s="1"/>
    </row>
    <row r="566">
      <c r="A566" s="63"/>
      <c r="B566" s="63"/>
      <c r="C566" s="63"/>
      <c r="D566" s="1"/>
    </row>
    <row r="567">
      <c r="A567" s="63"/>
      <c r="B567" s="63"/>
      <c r="C567" s="63"/>
      <c r="D567" s="1"/>
    </row>
    <row r="568">
      <c r="A568" s="63"/>
      <c r="B568" s="63"/>
      <c r="C568" s="63"/>
      <c r="D568" s="1"/>
    </row>
    <row r="569">
      <c r="A569" s="63"/>
      <c r="B569" s="63"/>
      <c r="C569" s="63"/>
      <c r="D569" s="1"/>
    </row>
    <row r="570">
      <c r="A570" s="63"/>
      <c r="B570" s="63"/>
      <c r="C570" s="63"/>
      <c r="D570" s="1"/>
    </row>
    <row r="571">
      <c r="A571" s="63"/>
      <c r="B571" s="63"/>
      <c r="C571" s="63"/>
      <c r="D571" s="1"/>
    </row>
    <row r="572">
      <c r="A572" s="63"/>
      <c r="B572" s="63"/>
      <c r="C572" s="63"/>
      <c r="D572" s="1"/>
    </row>
    <row r="573">
      <c r="A573" s="63"/>
      <c r="B573" s="63"/>
      <c r="C573" s="63"/>
      <c r="D573" s="1"/>
    </row>
    <row r="574">
      <c r="A574" s="63"/>
      <c r="B574" s="63"/>
      <c r="C574" s="63"/>
      <c r="D574" s="1"/>
    </row>
    <row r="575">
      <c r="A575" s="63"/>
      <c r="B575" s="63"/>
      <c r="C575" s="63"/>
      <c r="D575" s="1"/>
    </row>
    <row r="576">
      <c r="A576" s="63"/>
      <c r="B576" s="63"/>
      <c r="C576" s="63"/>
      <c r="D576" s="1"/>
    </row>
    <row r="577">
      <c r="A577" s="63"/>
      <c r="B577" s="63"/>
      <c r="C577" s="63"/>
      <c r="D577" s="1"/>
    </row>
    <row r="578">
      <c r="A578" s="63"/>
      <c r="B578" s="63"/>
      <c r="C578" s="63"/>
      <c r="D578" s="1"/>
    </row>
    <row r="579">
      <c r="A579" s="63"/>
      <c r="B579" s="63"/>
      <c r="C579" s="63"/>
      <c r="D579" s="1"/>
    </row>
    <row r="580">
      <c r="A580" s="63"/>
      <c r="B580" s="63"/>
      <c r="C580" s="63"/>
      <c r="D580" s="1"/>
    </row>
    <row r="581">
      <c r="A581" s="63"/>
      <c r="B581" s="63"/>
      <c r="C581" s="63"/>
      <c r="D581" s="1"/>
    </row>
    <row r="582">
      <c r="A582" s="63"/>
      <c r="B582" s="63"/>
      <c r="C582" s="63"/>
      <c r="D582" s="1"/>
    </row>
    <row r="583">
      <c r="A583" s="63"/>
      <c r="B583" s="63"/>
      <c r="C583" s="63"/>
      <c r="D583" s="1"/>
    </row>
    <row r="584">
      <c r="A584" s="63"/>
      <c r="B584" s="63"/>
      <c r="C584" s="63"/>
      <c r="D584" s="1"/>
    </row>
    <row r="585">
      <c r="A585" s="63"/>
      <c r="B585" s="63"/>
      <c r="C585" s="63"/>
      <c r="D585" s="1"/>
    </row>
    <row r="586">
      <c r="A586" s="63"/>
      <c r="B586" s="63"/>
      <c r="C586" s="63"/>
      <c r="D586" s="1"/>
    </row>
    <row r="587">
      <c r="A587" s="63"/>
      <c r="B587" s="63"/>
      <c r="C587" s="63"/>
      <c r="D587" s="1"/>
    </row>
    <row r="588">
      <c r="A588" s="63"/>
      <c r="B588" s="63"/>
      <c r="C588" s="63"/>
      <c r="D588" s="1"/>
    </row>
    <row r="589">
      <c r="A589" s="63"/>
      <c r="B589" s="63"/>
      <c r="C589" s="63"/>
      <c r="D589" s="1"/>
    </row>
    <row r="590">
      <c r="A590" s="63"/>
      <c r="B590" s="63"/>
      <c r="C590" s="63"/>
      <c r="D590" s="1"/>
    </row>
    <row r="591">
      <c r="A591" s="63"/>
      <c r="B591" s="63"/>
      <c r="C591" s="63"/>
      <c r="D591" s="1"/>
    </row>
    <row r="592">
      <c r="A592" s="63"/>
      <c r="B592" s="63"/>
      <c r="C592" s="63"/>
      <c r="D592" s="1"/>
    </row>
    <row r="593">
      <c r="A593" s="63"/>
      <c r="B593" s="63"/>
      <c r="C593" s="63"/>
      <c r="D593" s="1"/>
    </row>
    <row r="594">
      <c r="A594" s="63"/>
      <c r="B594" s="63"/>
      <c r="C594" s="63"/>
      <c r="D594" s="1"/>
    </row>
    <row r="595">
      <c r="A595" s="63"/>
      <c r="B595" s="63"/>
      <c r="C595" s="63"/>
      <c r="D595" s="1"/>
    </row>
    <row r="596">
      <c r="A596" s="63"/>
      <c r="B596" s="63"/>
      <c r="C596" s="63"/>
      <c r="D596" s="1"/>
    </row>
    <row r="597">
      <c r="A597" s="63"/>
      <c r="B597" s="63"/>
      <c r="C597" s="63"/>
      <c r="D597" s="1"/>
    </row>
    <row r="598">
      <c r="A598" s="63"/>
      <c r="B598" s="63"/>
      <c r="C598" s="63"/>
      <c r="D598" s="1"/>
    </row>
    <row r="599">
      <c r="A599" s="63"/>
      <c r="B599" s="63"/>
      <c r="C599" s="63"/>
      <c r="D599" s="1"/>
    </row>
    <row r="600">
      <c r="A600" s="63"/>
      <c r="B600" s="63"/>
      <c r="C600" s="63"/>
      <c r="D600" s="1"/>
    </row>
    <row r="601">
      <c r="A601" s="63"/>
      <c r="B601" s="63"/>
      <c r="C601" s="63"/>
      <c r="D601" s="1"/>
    </row>
    <row r="602">
      <c r="A602" s="63"/>
      <c r="B602" s="63"/>
      <c r="C602" s="63"/>
      <c r="D602" s="1"/>
    </row>
    <row r="603">
      <c r="A603" s="63"/>
      <c r="B603" s="63"/>
      <c r="C603" s="63"/>
      <c r="D603" s="1"/>
    </row>
    <row r="604">
      <c r="A604" s="63"/>
      <c r="B604" s="63"/>
      <c r="C604" s="63"/>
      <c r="D604" s="1"/>
    </row>
    <row r="605">
      <c r="A605" s="63"/>
      <c r="B605" s="63"/>
      <c r="C605" s="63"/>
      <c r="D605" s="1"/>
    </row>
    <row r="606">
      <c r="A606" s="63"/>
      <c r="B606" s="63"/>
      <c r="C606" s="63"/>
      <c r="D606" s="1"/>
    </row>
    <row r="607">
      <c r="A607" s="63"/>
      <c r="B607" s="63"/>
      <c r="C607" s="63"/>
      <c r="D607" s="1"/>
    </row>
    <row r="608">
      <c r="A608" s="63"/>
      <c r="B608" s="63"/>
      <c r="C608" s="63"/>
      <c r="D608" s="1"/>
    </row>
    <row r="609">
      <c r="A609" s="63"/>
      <c r="B609" s="63"/>
      <c r="C609" s="63"/>
      <c r="D609" s="1"/>
    </row>
    <row r="610">
      <c r="A610" s="63"/>
      <c r="B610" s="63"/>
      <c r="C610" s="63"/>
      <c r="D610" s="1"/>
    </row>
    <row r="611">
      <c r="A611" s="63"/>
      <c r="B611" s="63"/>
      <c r="C611" s="63"/>
      <c r="D611" s="1"/>
    </row>
    <row r="612">
      <c r="A612" s="63"/>
      <c r="B612" s="63"/>
      <c r="C612" s="63"/>
      <c r="D612" s="1"/>
    </row>
    <row r="613">
      <c r="A613" s="63"/>
      <c r="B613" s="63"/>
      <c r="C613" s="63"/>
      <c r="D613" s="1"/>
    </row>
    <row r="614">
      <c r="A614" s="63"/>
      <c r="B614" s="63"/>
      <c r="C614" s="63"/>
      <c r="D614" s="1"/>
    </row>
    <row r="615">
      <c r="A615" s="63"/>
      <c r="B615" s="63"/>
      <c r="C615" s="63"/>
      <c r="D615" s="1"/>
    </row>
    <row r="616">
      <c r="A616" s="63"/>
      <c r="B616" s="63"/>
      <c r="C616" s="63"/>
      <c r="D616" s="1"/>
    </row>
    <row r="617">
      <c r="A617" s="63"/>
      <c r="B617" s="63"/>
      <c r="C617" s="63"/>
      <c r="D617" s="1"/>
    </row>
    <row r="618">
      <c r="A618" s="63"/>
      <c r="B618" s="63"/>
      <c r="C618" s="63"/>
      <c r="D618" s="1"/>
    </row>
    <row r="619">
      <c r="A619" s="63"/>
      <c r="B619" s="63"/>
      <c r="C619" s="63"/>
      <c r="D619" s="1"/>
    </row>
    <row r="620">
      <c r="A620" s="63"/>
      <c r="B620" s="63"/>
      <c r="C620" s="63"/>
      <c r="D620" s="1"/>
    </row>
    <row r="621">
      <c r="A621" s="63"/>
      <c r="B621" s="63"/>
      <c r="C621" s="63"/>
      <c r="D621" s="1"/>
    </row>
    <row r="622">
      <c r="A622" s="63"/>
      <c r="B622" s="63"/>
      <c r="C622" s="63"/>
      <c r="D622" s="1"/>
    </row>
    <row r="623">
      <c r="A623" s="63"/>
      <c r="B623" s="63"/>
      <c r="C623" s="63"/>
      <c r="D623" s="1"/>
    </row>
    <row r="624">
      <c r="A624" s="63"/>
      <c r="B624" s="63"/>
      <c r="C624" s="63"/>
      <c r="D624" s="1"/>
    </row>
    <row r="625">
      <c r="A625" s="63"/>
      <c r="B625" s="63"/>
      <c r="C625" s="63"/>
      <c r="D625" s="1"/>
    </row>
    <row r="626">
      <c r="A626" s="63"/>
      <c r="B626" s="63"/>
      <c r="C626" s="63"/>
      <c r="D626" s="1"/>
    </row>
    <row r="627">
      <c r="A627" s="63"/>
      <c r="B627" s="63"/>
      <c r="C627" s="63"/>
      <c r="D627" s="1"/>
    </row>
    <row r="628">
      <c r="A628" s="63"/>
      <c r="B628" s="63"/>
      <c r="C628" s="63"/>
      <c r="D628" s="1"/>
    </row>
    <row r="629">
      <c r="A629" s="63"/>
      <c r="B629" s="63"/>
      <c r="C629" s="63"/>
      <c r="D629" s="1"/>
    </row>
    <row r="630">
      <c r="A630" s="63"/>
      <c r="B630" s="63"/>
      <c r="C630" s="63"/>
      <c r="D630" s="1"/>
    </row>
    <row r="631">
      <c r="A631" s="63"/>
      <c r="B631" s="63"/>
      <c r="C631" s="63"/>
      <c r="D631" s="1"/>
    </row>
    <row r="632">
      <c r="A632" s="63"/>
      <c r="B632" s="63"/>
      <c r="C632" s="63"/>
      <c r="D632" s="1"/>
    </row>
    <row r="633">
      <c r="A633" s="63"/>
      <c r="B633" s="63"/>
      <c r="C633" s="63"/>
      <c r="D633" s="1"/>
    </row>
    <row r="634">
      <c r="A634" s="63"/>
      <c r="B634" s="63"/>
      <c r="C634" s="63"/>
      <c r="D634" s="1"/>
    </row>
    <row r="635">
      <c r="A635" s="63"/>
      <c r="B635" s="63"/>
      <c r="C635" s="63"/>
      <c r="D635" s="1"/>
    </row>
    <row r="636">
      <c r="A636" s="63"/>
      <c r="B636" s="63"/>
      <c r="C636" s="63"/>
      <c r="D636" s="1"/>
    </row>
    <row r="637">
      <c r="A637" s="63"/>
      <c r="B637" s="63"/>
      <c r="C637" s="63"/>
      <c r="D637" s="1"/>
    </row>
    <row r="638">
      <c r="A638" s="63"/>
      <c r="B638" s="63"/>
      <c r="C638" s="63"/>
      <c r="D638" s="1"/>
    </row>
    <row r="639">
      <c r="A639" s="63"/>
      <c r="B639" s="63"/>
      <c r="C639" s="63"/>
      <c r="D639" s="1"/>
    </row>
    <row r="640">
      <c r="A640" s="63"/>
      <c r="B640" s="63"/>
      <c r="C640" s="63"/>
      <c r="D640" s="1"/>
    </row>
    <row r="641">
      <c r="A641" s="63"/>
      <c r="B641" s="63"/>
      <c r="C641" s="63"/>
      <c r="D641" s="1"/>
    </row>
    <row r="642">
      <c r="A642" s="63"/>
      <c r="B642" s="63"/>
      <c r="C642" s="63"/>
      <c r="D642" s="1"/>
    </row>
    <row r="643">
      <c r="A643" s="63"/>
      <c r="B643" s="63"/>
      <c r="C643" s="63"/>
      <c r="D643" s="1"/>
    </row>
    <row r="644">
      <c r="A644" s="63"/>
      <c r="B644" s="63"/>
      <c r="C644" s="63"/>
      <c r="D644" s="1"/>
    </row>
    <row r="645">
      <c r="A645" s="63"/>
      <c r="B645" s="63"/>
      <c r="C645" s="63"/>
      <c r="D645" s="1"/>
    </row>
    <row r="646">
      <c r="A646" s="63"/>
      <c r="B646" s="63"/>
      <c r="C646" s="63"/>
      <c r="D646" s="1"/>
    </row>
    <row r="647">
      <c r="A647" s="63"/>
      <c r="B647" s="63"/>
      <c r="C647" s="63"/>
      <c r="D647" s="1"/>
    </row>
    <row r="648">
      <c r="A648" s="63"/>
      <c r="B648" s="63"/>
      <c r="C648" s="63"/>
      <c r="D648" s="1"/>
    </row>
    <row r="649">
      <c r="A649" s="63"/>
      <c r="B649" s="63"/>
      <c r="C649" s="63"/>
      <c r="D649" s="1"/>
    </row>
    <row r="650">
      <c r="A650" s="63"/>
      <c r="B650" s="63"/>
      <c r="C650" s="63"/>
      <c r="D650" s="1"/>
    </row>
    <row r="651">
      <c r="A651" s="63"/>
      <c r="B651" s="63"/>
      <c r="C651" s="63"/>
      <c r="D651" s="1"/>
    </row>
    <row r="652">
      <c r="A652" s="63"/>
      <c r="B652" s="63"/>
      <c r="C652" s="63"/>
      <c r="D652" s="1"/>
    </row>
    <row r="653">
      <c r="A653" s="63"/>
      <c r="B653" s="63"/>
      <c r="C653" s="63"/>
      <c r="D653" s="1"/>
    </row>
    <row r="654">
      <c r="A654" s="63"/>
      <c r="B654" s="63"/>
      <c r="C654" s="63"/>
      <c r="D654" s="1"/>
    </row>
    <row r="655">
      <c r="A655" s="63"/>
      <c r="B655" s="63"/>
      <c r="C655" s="63"/>
      <c r="D655" s="1"/>
    </row>
    <row r="656">
      <c r="A656" s="63"/>
      <c r="B656" s="63"/>
      <c r="C656" s="63"/>
      <c r="D656" s="1"/>
    </row>
    <row r="657">
      <c r="A657" s="63"/>
      <c r="B657" s="63"/>
      <c r="C657" s="63"/>
      <c r="D657" s="1"/>
    </row>
    <row r="658">
      <c r="A658" s="63"/>
      <c r="B658" s="63"/>
      <c r="C658" s="63"/>
      <c r="D658" s="1"/>
    </row>
    <row r="659">
      <c r="A659" s="63"/>
      <c r="B659" s="63"/>
      <c r="C659" s="63"/>
      <c r="D659" s="1"/>
    </row>
    <row r="660">
      <c r="A660" s="63"/>
      <c r="B660" s="63"/>
      <c r="C660" s="63"/>
      <c r="D660" s="1"/>
    </row>
    <row r="661">
      <c r="A661" s="63"/>
      <c r="B661" s="63"/>
      <c r="C661" s="63"/>
      <c r="D661" s="1"/>
    </row>
    <row r="662">
      <c r="A662" s="63"/>
      <c r="B662" s="63"/>
      <c r="C662" s="63"/>
      <c r="D662" s="1"/>
    </row>
    <row r="663">
      <c r="A663" s="63"/>
      <c r="B663" s="63"/>
      <c r="C663" s="63"/>
      <c r="D663" s="1"/>
    </row>
    <row r="664">
      <c r="A664" s="63"/>
      <c r="B664" s="63"/>
      <c r="C664" s="63"/>
      <c r="D664" s="1"/>
    </row>
    <row r="665">
      <c r="A665" s="63"/>
      <c r="B665" s="63"/>
      <c r="C665" s="63"/>
      <c r="D665" s="1"/>
    </row>
    <row r="666">
      <c r="A666" s="63"/>
      <c r="B666" s="63"/>
      <c r="C666" s="63"/>
      <c r="D666" s="1"/>
    </row>
    <row r="667">
      <c r="A667" s="63"/>
      <c r="B667" s="63"/>
      <c r="C667" s="63"/>
      <c r="D667" s="1"/>
    </row>
    <row r="668">
      <c r="A668" s="63"/>
      <c r="B668" s="63"/>
      <c r="C668" s="63"/>
      <c r="D668" s="1"/>
    </row>
    <row r="669">
      <c r="A669" s="63"/>
      <c r="B669" s="63"/>
      <c r="C669" s="63"/>
      <c r="D669" s="1"/>
    </row>
    <row r="670">
      <c r="A670" s="63"/>
      <c r="B670" s="63"/>
      <c r="C670" s="63"/>
      <c r="D670" s="1"/>
    </row>
    <row r="671">
      <c r="A671" s="63"/>
      <c r="B671" s="63"/>
      <c r="C671" s="63"/>
      <c r="D671" s="1"/>
    </row>
    <row r="672">
      <c r="A672" s="63"/>
      <c r="B672" s="63"/>
      <c r="C672" s="63"/>
      <c r="D672" s="1"/>
    </row>
    <row r="673">
      <c r="A673" s="63"/>
      <c r="B673" s="63"/>
      <c r="C673" s="63"/>
      <c r="D673" s="1"/>
    </row>
    <row r="674">
      <c r="A674" s="63"/>
      <c r="B674" s="63"/>
      <c r="C674" s="63"/>
      <c r="D674" s="1"/>
    </row>
    <row r="675">
      <c r="A675" s="63"/>
      <c r="B675" s="63"/>
      <c r="C675" s="63"/>
      <c r="D675" s="1"/>
    </row>
    <row r="676">
      <c r="A676" s="63"/>
      <c r="B676" s="63"/>
      <c r="C676" s="63"/>
      <c r="D676" s="1"/>
    </row>
    <row r="677">
      <c r="A677" s="63"/>
      <c r="B677" s="63"/>
      <c r="C677" s="63"/>
      <c r="D677" s="1"/>
    </row>
    <row r="678">
      <c r="A678" s="63"/>
      <c r="B678" s="63"/>
      <c r="C678" s="63"/>
      <c r="D678" s="1"/>
    </row>
    <row r="679">
      <c r="A679" s="63"/>
      <c r="B679" s="63"/>
      <c r="C679" s="63"/>
      <c r="D679" s="1"/>
    </row>
    <row r="680">
      <c r="A680" s="63"/>
      <c r="B680" s="63"/>
      <c r="C680" s="63"/>
      <c r="D680" s="1"/>
    </row>
    <row r="681">
      <c r="A681" s="63"/>
      <c r="B681" s="63"/>
      <c r="C681" s="63"/>
      <c r="D681" s="1"/>
    </row>
    <row r="682">
      <c r="A682" s="63"/>
      <c r="B682" s="63"/>
      <c r="C682" s="63"/>
      <c r="D682" s="1"/>
    </row>
    <row r="683">
      <c r="A683" s="63"/>
      <c r="B683" s="63"/>
      <c r="C683" s="63"/>
      <c r="D683" s="1"/>
    </row>
    <row r="684">
      <c r="A684" s="63"/>
      <c r="B684" s="63"/>
      <c r="C684" s="63"/>
      <c r="D684" s="1"/>
    </row>
    <row r="685">
      <c r="A685" s="63"/>
      <c r="B685" s="63"/>
      <c r="C685" s="63"/>
      <c r="D685" s="1"/>
    </row>
    <row r="686">
      <c r="A686" s="63"/>
      <c r="B686" s="63"/>
      <c r="C686" s="63"/>
      <c r="D686" s="1"/>
    </row>
    <row r="687">
      <c r="A687" s="63"/>
      <c r="B687" s="63"/>
      <c r="C687" s="63"/>
      <c r="D687" s="1"/>
    </row>
    <row r="688">
      <c r="A688" s="63"/>
      <c r="B688" s="63"/>
      <c r="C688" s="63"/>
      <c r="D688" s="1"/>
    </row>
    <row r="689">
      <c r="A689" s="63"/>
      <c r="B689" s="63"/>
      <c r="C689" s="63"/>
      <c r="D689" s="1"/>
    </row>
    <row r="690">
      <c r="A690" s="63"/>
      <c r="B690" s="63"/>
      <c r="C690" s="63"/>
      <c r="D690" s="1"/>
    </row>
    <row r="691">
      <c r="A691" s="63"/>
      <c r="B691" s="63"/>
      <c r="C691" s="63"/>
      <c r="D691" s="1"/>
    </row>
    <row r="692">
      <c r="A692" s="63"/>
      <c r="B692" s="63"/>
      <c r="C692" s="63"/>
      <c r="D692" s="1"/>
    </row>
    <row r="693">
      <c r="A693" s="63"/>
      <c r="B693" s="63"/>
      <c r="C693" s="63"/>
      <c r="D693" s="1"/>
    </row>
    <row r="694">
      <c r="A694" s="63"/>
      <c r="B694" s="63"/>
      <c r="C694" s="63"/>
      <c r="D694" s="1"/>
    </row>
    <row r="695">
      <c r="A695" s="63"/>
      <c r="B695" s="63"/>
      <c r="C695" s="63"/>
      <c r="D695" s="1"/>
    </row>
    <row r="696">
      <c r="A696" s="63"/>
      <c r="B696" s="63"/>
      <c r="C696" s="63"/>
      <c r="D696" s="1"/>
    </row>
    <row r="697">
      <c r="A697" s="63"/>
      <c r="B697" s="63"/>
      <c r="C697" s="63"/>
      <c r="D697" s="1"/>
    </row>
    <row r="698">
      <c r="A698" s="63"/>
      <c r="B698" s="63"/>
      <c r="C698" s="63"/>
      <c r="D698" s="1"/>
    </row>
    <row r="699">
      <c r="A699" s="63"/>
      <c r="B699" s="63"/>
      <c r="C699" s="63"/>
      <c r="D699" s="1"/>
    </row>
    <row r="700">
      <c r="A700" s="63"/>
      <c r="B700" s="63"/>
      <c r="C700" s="63"/>
      <c r="D700" s="1"/>
    </row>
    <row r="701">
      <c r="A701" s="63"/>
      <c r="B701" s="63"/>
      <c r="C701" s="63"/>
      <c r="D701" s="1"/>
    </row>
    <row r="702">
      <c r="A702" s="63"/>
      <c r="B702" s="63"/>
      <c r="C702" s="63"/>
      <c r="D702" s="1"/>
    </row>
    <row r="703">
      <c r="A703" s="63"/>
      <c r="B703" s="63"/>
      <c r="C703" s="63"/>
      <c r="D703" s="1"/>
    </row>
    <row r="704">
      <c r="A704" s="63"/>
      <c r="B704" s="63"/>
      <c r="C704" s="63"/>
      <c r="D704" s="1"/>
    </row>
    <row r="705">
      <c r="A705" s="63"/>
      <c r="B705" s="63"/>
      <c r="C705" s="63"/>
      <c r="D705" s="1"/>
    </row>
    <row r="706">
      <c r="A706" s="63"/>
      <c r="B706" s="63"/>
      <c r="C706" s="63"/>
      <c r="D706" s="1"/>
    </row>
    <row r="707">
      <c r="A707" s="63"/>
      <c r="B707" s="63"/>
      <c r="C707" s="63"/>
      <c r="D707" s="1"/>
    </row>
    <row r="708">
      <c r="A708" s="63"/>
      <c r="B708" s="63"/>
      <c r="C708" s="63"/>
      <c r="D708" s="1"/>
    </row>
    <row r="709">
      <c r="A709" s="63"/>
      <c r="B709" s="63"/>
      <c r="C709" s="63"/>
      <c r="D709" s="1"/>
    </row>
    <row r="710">
      <c r="A710" s="63"/>
      <c r="B710" s="63"/>
      <c r="C710" s="63"/>
      <c r="D710" s="1"/>
    </row>
    <row r="711">
      <c r="A711" s="63"/>
      <c r="B711" s="63"/>
      <c r="C711" s="63"/>
      <c r="D711" s="1"/>
    </row>
    <row r="712">
      <c r="A712" s="63"/>
      <c r="B712" s="63"/>
      <c r="C712" s="63"/>
      <c r="D712" s="1"/>
    </row>
    <row r="713">
      <c r="A713" s="63"/>
      <c r="B713" s="63"/>
      <c r="C713" s="63"/>
      <c r="D713" s="1"/>
    </row>
    <row r="714">
      <c r="A714" s="63"/>
      <c r="B714" s="63"/>
      <c r="C714" s="63"/>
      <c r="D714" s="1"/>
    </row>
    <row r="715">
      <c r="A715" s="63"/>
      <c r="B715" s="63"/>
      <c r="C715" s="63"/>
      <c r="D715" s="1"/>
    </row>
    <row r="716">
      <c r="A716" s="63"/>
      <c r="B716" s="63"/>
      <c r="C716" s="63"/>
      <c r="D716" s="1"/>
    </row>
    <row r="717">
      <c r="A717" s="63"/>
      <c r="B717" s="63"/>
      <c r="C717" s="63"/>
      <c r="D717" s="1"/>
    </row>
    <row r="718">
      <c r="A718" s="63"/>
      <c r="B718" s="63"/>
      <c r="C718" s="63"/>
      <c r="D718" s="1"/>
    </row>
    <row r="719">
      <c r="A719" s="63"/>
      <c r="B719" s="63"/>
      <c r="C719" s="63"/>
      <c r="D719" s="1"/>
    </row>
    <row r="720">
      <c r="A720" s="63"/>
      <c r="B720" s="63"/>
      <c r="C720" s="63"/>
      <c r="D720" s="1"/>
    </row>
    <row r="721">
      <c r="A721" s="63"/>
      <c r="B721" s="63"/>
      <c r="C721" s="63"/>
      <c r="D721" s="1"/>
    </row>
    <row r="722">
      <c r="A722" s="63"/>
      <c r="B722" s="63"/>
      <c r="C722" s="63"/>
      <c r="D722" s="1"/>
    </row>
    <row r="723">
      <c r="A723" s="63"/>
      <c r="B723" s="63"/>
      <c r="C723" s="63"/>
      <c r="D723" s="1"/>
    </row>
    <row r="724">
      <c r="A724" s="63"/>
      <c r="B724" s="63"/>
      <c r="C724" s="63"/>
      <c r="D724" s="1"/>
    </row>
    <row r="725">
      <c r="A725" s="63"/>
      <c r="B725" s="63"/>
      <c r="C725" s="63"/>
      <c r="D725" s="1"/>
    </row>
    <row r="726">
      <c r="A726" s="63"/>
      <c r="B726" s="63"/>
      <c r="C726" s="63"/>
      <c r="D726" s="1"/>
    </row>
    <row r="727">
      <c r="A727" s="63"/>
      <c r="B727" s="63"/>
      <c r="C727" s="63"/>
      <c r="D727" s="1"/>
    </row>
    <row r="728">
      <c r="A728" s="63"/>
      <c r="B728" s="63"/>
      <c r="C728" s="63"/>
      <c r="D728" s="1"/>
    </row>
    <row r="729">
      <c r="A729" s="63"/>
      <c r="B729" s="63"/>
      <c r="C729" s="63"/>
      <c r="D729" s="1"/>
    </row>
    <row r="730">
      <c r="A730" s="63"/>
      <c r="B730" s="63"/>
      <c r="C730" s="63"/>
      <c r="D730" s="1"/>
    </row>
    <row r="731">
      <c r="A731" s="63"/>
      <c r="B731" s="63"/>
      <c r="C731" s="63"/>
      <c r="D731" s="1"/>
    </row>
    <row r="732">
      <c r="A732" s="63"/>
      <c r="B732" s="63"/>
      <c r="C732" s="63"/>
      <c r="D732" s="1"/>
    </row>
    <row r="733">
      <c r="A733" s="63"/>
      <c r="B733" s="63"/>
      <c r="C733" s="63"/>
      <c r="D733" s="1"/>
    </row>
    <row r="734">
      <c r="A734" s="63"/>
      <c r="B734" s="63"/>
      <c r="C734" s="63"/>
      <c r="D734" s="1"/>
    </row>
    <row r="735">
      <c r="A735" s="63"/>
      <c r="B735" s="63"/>
      <c r="C735" s="63"/>
      <c r="D735" s="1"/>
    </row>
    <row r="736">
      <c r="A736" s="63"/>
      <c r="B736" s="63"/>
      <c r="C736" s="63"/>
      <c r="D736" s="1"/>
    </row>
    <row r="737">
      <c r="A737" s="63"/>
      <c r="B737" s="63"/>
      <c r="C737" s="63"/>
      <c r="D737" s="1"/>
    </row>
    <row r="738">
      <c r="A738" s="63"/>
      <c r="B738" s="63"/>
      <c r="C738" s="63"/>
      <c r="D738" s="1"/>
    </row>
    <row r="739">
      <c r="A739" s="63"/>
      <c r="B739" s="63"/>
      <c r="C739" s="63"/>
      <c r="D739" s="1"/>
    </row>
    <row r="740">
      <c r="A740" s="63"/>
      <c r="B740" s="63"/>
      <c r="C740" s="63"/>
      <c r="D740" s="1"/>
    </row>
    <row r="741">
      <c r="A741" s="63"/>
      <c r="B741" s="63"/>
      <c r="C741" s="63"/>
      <c r="D741" s="1"/>
    </row>
    <row r="742">
      <c r="A742" s="63"/>
      <c r="B742" s="63"/>
      <c r="C742" s="63"/>
      <c r="D742" s="1"/>
    </row>
    <row r="743">
      <c r="A743" s="63"/>
      <c r="B743" s="63"/>
      <c r="C743" s="63"/>
      <c r="D743" s="1"/>
    </row>
    <row r="744">
      <c r="A744" s="63"/>
      <c r="B744" s="63"/>
      <c r="C744" s="63"/>
      <c r="D744" s="1"/>
    </row>
    <row r="745">
      <c r="A745" s="63"/>
      <c r="B745" s="63"/>
      <c r="C745" s="63"/>
      <c r="D745" s="1"/>
    </row>
    <row r="746">
      <c r="A746" s="63"/>
      <c r="B746" s="63"/>
      <c r="C746" s="63"/>
      <c r="D746" s="1"/>
    </row>
    <row r="747">
      <c r="A747" s="63"/>
      <c r="B747" s="63"/>
      <c r="C747" s="63"/>
      <c r="D747" s="1"/>
    </row>
    <row r="748">
      <c r="A748" s="63"/>
      <c r="B748" s="63"/>
      <c r="C748" s="63"/>
      <c r="D748" s="1"/>
    </row>
    <row r="749">
      <c r="A749" s="63"/>
      <c r="B749" s="63"/>
      <c r="C749" s="63"/>
      <c r="D749" s="1"/>
    </row>
    <row r="750">
      <c r="A750" s="63"/>
      <c r="B750" s="63"/>
      <c r="C750" s="63"/>
      <c r="D750" s="1"/>
    </row>
    <row r="751">
      <c r="A751" s="63"/>
      <c r="B751" s="63"/>
      <c r="C751" s="63"/>
      <c r="D751" s="1"/>
    </row>
    <row r="752">
      <c r="A752" s="63"/>
      <c r="B752" s="63"/>
      <c r="C752" s="63"/>
      <c r="D752" s="1"/>
    </row>
    <row r="753">
      <c r="A753" s="63"/>
      <c r="B753" s="63"/>
      <c r="C753" s="63"/>
      <c r="D753" s="1"/>
    </row>
    <row r="754">
      <c r="A754" s="63"/>
      <c r="B754" s="63"/>
      <c r="C754" s="63"/>
      <c r="D754" s="1"/>
    </row>
    <row r="755">
      <c r="A755" s="63"/>
      <c r="B755" s="63"/>
      <c r="C755" s="63"/>
      <c r="D755" s="1"/>
    </row>
    <row r="756">
      <c r="A756" s="63"/>
      <c r="B756" s="63"/>
      <c r="C756" s="63"/>
      <c r="D756" s="1"/>
    </row>
    <row r="757">
      <c r="A757" s="63"/>
      <c r="B757" s="63"/>
      <c r="C757" s="63"/>
      <c r="D757" s="1"/>
    </row>
    <row r="758">
      <c r="A758" s="63"/>
      <c r="B758" s="63"/>
      <c r="C758" s="63"/>
      <c r="D758" s="1"/>
    </row>
    <row r="759">
      <c r="A759" s="63"/>
      <c r="B759" s="63"/>
      <c r="C759" s="63"/>
      <c r="D759" s="1"/>
    </row>
    <row r="760">
      <c r="A760" s="63"/>
      <c r="B760" s="63"/>
      <c r="C760" s="63"/>
      <c r="D760" s="1"/>
    </row>
    <row r="761">
      <c r="A761" s="63"/>
      <c r="B761" s="63"/>
      <c r="C761" s="63"/>
      <c r="D761" s="1"/>
    </row>
    <row r="762">
      <c r="A762" s="63"/>
      <c r="B762" s="63"/>
      <c r="C762" s="63"/>
      <c r="D762" s="1"/>
    </row>
    <row r="763">
      <c r="A763" s="63"/>
      <c r="B763" s="63"/>
      <c r="C763" s="63"/>
      <c r="D763" s="1"/>
    </row>
    <row r="764">
      <c r="A764" s="63"/>
      <c r="B764" s="63"/>
      <c r="C764" s="63"/>
      <c r="D764" s="1"/>
    </row>
    <row r="765">
      <c r="A765" s="63"/>
      <c r="B765" s="63"/>
      <c r="C765" s="63"/>
      <c r="D765" s="1"/>
    </row>
    <row r="766">
      <c r="A766" s="63"/>
      <c r="B766" s="63"/>
      <c r="C766" s="63"/>
      <c r="D766" s="1"/>
    </row>
    <row r="767">
      <c r="A767" s="63"/>
      <c r="B767" s="63"/>
      <c r="C767" s="63"/>
      <c r="D767" s="1"/>
    </row>
    <row r="768">
      <c r="A768" s="63"/>
      <c r="B768" s="63"/>
      <c r="C768" s="63"/>
      <c r="D768" s="1"/>
    </row>
    <row r="769">
      <c r="A769" s="63"/>
      <c r="B769" s="63"/>
      <c r="C769" s="63"/>
      <c r="D769" s="1"/>
    </row>
    <row r="770">
      <c r="A770" s="63"/>
      <c r="B770" s="63"/>
      <c r="C770" s="63"/>
      <c r="D770" s="1"/>
    </row>
    <row r="771">
      <c r="A771" s="63"/>
      <c r="B771" s="63"/>
      <c r="C771" s="63"/>
      <c r="D771" s="1"/>
    </row>
    <row r="772">
      <c r="A772" s="63"/>
      <c r="B772" s="63"/>
      <c r="C772" s="63"/>
      <c r="D772" s="1"/>
    </row>
    <row r="773">
      <c r="A773" s="63"/>
      <c r="B773" s="63"/>
      <c r="C773" s="63"/>
      <c r="D773" s="1"/>
    </row>
    <row r="774">
      <c r="A774" s="63"/>
      <c r="B774" s="63"/>
      <c r="C774" s="63"/>
      <c r="D774" s="1"/>
    </row>
    <row r="775">
      <c r="A775" s="63"/>
      <c r="B775" s="63"/>
      <c r="C775" s="63"/>
      <c r="D775" s="1"/>
    </row>
    <row r="776">
      <c r="A776" s="63"/>
      <c r="B776" s="63"/>
      <c r="C776" s="63"/>
      <c r="D776" s="1"/>
    </row>
    <row r="777">
      <c r="A777" s="63"/>
      <c r="B777" s="63"/>
      <c r="C777" s="63"/>
      <c r="D777" s="1"/>
    </row>
    <row r="778">
      <c r="A778" s="63"/>
      <c r="B778" s="63"/>
      <c r="C778" s="63"/>
      <c r="D778" s="1"/>
    </row>
    <row r="779">
      <c r="A779" s="63"/>
      <c r="B779" s="63"/>
      <c r="C779" s="63"/>
      <c r="D779" s="1"/>
    </row>
    <row r="780">
      <c r="A780" s="63"/>
      <c r="B780" s="63"/>
      <c r="C780" s="63"/>
      <c r="D780" s="1"/>
    </row>
    <row r="781">
      <c r="A781" s="63"/>
      <c r="B781" s="63"/>
      <c r="C781" s="63"/>
      <c r="D781" s="1"/>
    </row>
    <row r="782">
      <c r="A782" s="63"/>
      <c r="B782" s="63"/>
      <c r="C782" s="63"/>
      <c r="D782" s="1"/>
    </row>
    <row r="783">
      <c r="A783" s="63"/>
      <c r="B783" s="63"/>
      <c r="C783" s="63"/>
      <c r="D783" s="1"/>
    </row>
    <row r="784">
      <c r="A784" s="63"/>
      <c r="B784" s="63"/>
      <c r="C784" s="63"/>
      <c r="D784" s="1"/>
    </row>
    <row r="785">
      <c r="A785" s="63"/>
      <c r="B785" s="63"/>
      <c r="C785" s="63"/>
      <c r="D785" s="1"/>
    </row>
    <row r="786">
      <c r="A786" s="63"/>
      <c r="B786" s="63"/>
      <c r="C786" s="63"/>
      <c r="D786" s="1"/>
    </row>
    <row r="787">
      <c r="A787" s="63"/>
      <c r="B787" s="63"/>
      <c r="C787" s="63"/>
      <c r="D787" s="1"/>
    </row>
    <row r="788">
      <c r="A788" s="63"/>
      <c r="B788" s="63"/>
      <c r="C788" s="63"/>
      <c r="D788" s="1"/>
    </row>
    <row r="789">
      <c r="A789" s="63"/>
      <c r="B789" s="63"/>
      <c r="C789" s="63"/>
      <c r="D789" s="1"/>
    </row>
    <row r="790">
      <c r="A790" s="63"/>
      <c r="B790" s="63"/>
      <c r="C790" s="63"/>
      <c r="D790" s="1"/>
    </row>
    <row r="791">
      <c r="A791" s="63"/>
      <c r="B791" s="63"/>
      <c r="C791" s="63"/>
      <c r="D791" s="1"/>
    </row>
    <row r="792">
      <c r="A792" s="63"/>
      <c r="B792" s="63"/>
      <c r="C792" s="63"/>
      <c r="D792" s="1"/>
    </row>
    <row r="793">
      <c r="A793" s="63"/>
      <c r="B793" s="63"/>
      <c r="C793" s="63"/>
      <c r="D793" s="1"/>
    </row>
    <row r="794">
      <c r="A794" s="63"/>
      <c r="B794" s="63"/>
      <c r="C794" s="63"/>
      <c r="D794" s="1"/>
    </row>
    <row r="795">
      <c r="A795" s="63"/>
      <c r="B795" s="63"/>
      <c r="C795" s="63"/>
      <c r="D795" s="1"/>
    </row>
    <row r="796">
      <c r="A796" s="63"/>
      <c r="B796" s="63"/>
      <c r="C796" s="63"/>
      <c r="D796" s="1"/>
    </row>
    <row r="797">
      <c r="A797" s="63"/>
      <c r="B797" s="63"/>
      <c r="C797" s="63"/>
      <c r="D797" s="1"/>
    </row>
    <row r="798">
      <c r="A798" s="63"/>
      <c r="B798" s="63"/>
      <c r="C798" s="63"/>
      <c r="D798" s="1"/>
    </row>
    <row r="799">
      <c r="A799" s="63"/>
      <c r="B799" s="63"/>
      <c r="C799" s="63"/>
      <c r="D799" s="1"/>
    </row>
    <row r="800">
      <c r="A800" s="63"/>
      <c r="B800" s="63"/>
      <c r="C800" s="63"/>
      <c r="D800" s="1"/>
    </row>
    <row r="801">
      <c r="A801" s="63"/>
      <c r="B801" s="63"/>
      <c r="C801" s="63"/>
      <c r="D801" s="1"/>
    </row>
    <row r="802">
      <c r="A802" s="63"/>
      <c r="B802" s="63"/>
      <c r="C802" s="63"/>
      <c r="D802" s="1"/>
    </row>
    <row r="803">
      <c r="A803" s="63"/>
      <c r="B803" s="63"/>
      <c r="C803" s="63"/>
      <c r="D803" s="1"/>
    </row>
    <row r="804">
      <c r="A804" s="63"/>
      <c r="B804" s="63"/>
      <c r="C804" s="63"/>
      <c r="D804" s="1"/>
    </row>
    <row r="805">
      <c r="A805" s="63"/>
      <c r="B805" s="63"/>
      <c r="C805" s="63"/>
      <c r="D805" s="1"/>
    </row>
    <row r="806">
      <c r="A806" s="63"/>
      <c r="B806" s="63"/>
      <c r="C806" s="63"/>
      <c r="D806" s="1"/>
    </row>
    <row r="807">
      <c r="A807" s="63"/>
      <c r="B807" s="63"/>
      <c r="C807" s="63"/>
      <c r="D807" s="1"/>
    </row>
    <row r="808">
      <c r="A808" s="63"/>
      <c r="B808" s="63"/>
      <c r="C808" s="63"/>
      <c r="D808" s="1"/>
    </row>
    <row r="809">
      <c r="A809" s="63"/>
      <c r="B809" s="63"/>
      <c r="C809" s="63"/>
      <c r="D809" s="1"/>
    </row>
    <row r="810">
      <c r="A810" s="63"/>
      <c r="B810" s="63"/>
      <c r="C810" s="63"/>
      <c r="D810" s="1"/>
    </row>
    <row r="811">
      <c r="A811" s="63"/>
      <c r="B811" s="63"/>
      <c r="C811" s="63"/>
      <c r="D811" s="1"/>
    </row>
    <row r="812">
      <c r="A812" s="63"/>
      <c r="B812" s="63"/>
      <c r="C812" s="63"/>
      <c r="D812" s="1"/>
    </row>
    <row r="813">
      <c r="A813" s="63"/>
      <c r="B813" s="63"/>
      <c r="C813" s="63"/>
      <c r="D813" s="1"/>
    </row>
    <row r="814">
      <c r="A814" s="63"/>
      <c r="B814" s="63"/>
      <c r="C814" s="63"/>
      <c r="D814" s="1"/>
    </row>
    <row r="815">
      <c r="A815" s="63"/>
      <c r="B815" s="63"/>
      <c r="C815" s="63"/>
      <c r="D815" s="1"/>
    </row>
    <row r="816">
      <c r="A816" s="63"/>
      <c r="B816" s="63"/>
      <c r="C816" s="63"/>
      <c r="D816" s="1"/>
    </row>
    <row r="817">
      <c r="A817" s="63"/>
      <c r="B817" s="63"/>
      <c r="C817" s="63"/>
      <c r="D817" s="1"/>
    </row>
    <row r="818">
      <c r="A818" s="63"/>
      <c r="B818" s="63"/>
      <c r="C818" s="63"/>
      <c r="D818" s="1"/>
    </row>
    <row r="819">
      <c r="A819" s="63"/>
      <c r="B819" s="63"/>
      <c r="C819" s="63"/>
      <c r="D819" s="1"/>
    </row>
    <row r="820">
      <c r="A820" s="63"/>
      <c r="B820" s="63"/>
      <c r="C820" s="63"/>
      <c r="D820" s="1"/>
    </row>
    <row r="821">
      <c r="A821" s="63"/>
      <c r="B821" s="63"/>
      <c r="C821" s="63"/>
      <c r="D821" s="1"/>
    </row>
    <row r="822">
      <c r="A822" s="63"/>
      <c r="B822" s="63"/>
      <c r="C822" s="63"/>
      <c r="D822" s="1"/>
    </row>
    <row r="823">
      <c r="A823" s="63"/>
      <c r="B823" s="63"/>
      <c r="C823" s="63"/>
      <c r="D823" s="1"/>
    </row>
    <row r="824">
      <c r="A824" s="63"/>
      <c r="B824" s="63"/>
      <c r="C824" s="63"/>
      <c r="D824" s="1"/>
    </row>
    <row r="825">
      <c r="A825" s="63"/>
      <c r="B825" s="63"/>
      <c r="C825" s="63"/>
      <c r="D825" s="1"/>
    </row>
    <row r="826">
      <c r="A826" s="63"/>
      <c r="B826" s="63"/>
      <c r="C826" s="63"/>
      <c r="D826" s="1"/>
    </row>
    <row r="827">
      <c r="A827" s="63"/>
      <c r="B827" s="63"/>
      <c r="C827" s="63"/>
      <c r="D827" s="1"/>
    </row>
    <row r="828">
      <c r="A828" s="63"/>
      <c r="B828" s="63"/>
      <c r="C828" s="63"/>
      <c r="D828" s="1"/>
    </row>
    <row r="829">
      <c r="A829" s="63"/>
      <c r="B829" s="63"/>
      <c r="C829" s="63"/>
      <c r="D829" s="1"/>
    </row>
    <row r="830">
      <c r="A830" s="63"/>
      <c r="B830" s="63"/>
      <c r="C830" s="63"/>
      <c r="D830" s="1"/>
    </row>
    <row r="831">
      <c r="A831" s="63"/>
      <c r="B831" s="63"/>
      <c r="C831" s="63"/>
      <c r="D831" s="1"/>
    </row>
    <row r="832">
      <c r="A832" s="63"/>
      <c r="B832" s="63"/>
      <c r="C832" s="63"/>
      <c r="D832" s="1"/>
    </row>
    <row r="833">
      <c r="A833" s="63"/>
      <c r="B833" s="63"/>
      <c r="C833" s="63"/>
      <c r="D833" s="1"/>
    </row>
    <row r="834">
      <c r="A834" s="63"/>
      <c r="B834" s="63"/>
      <c r="C834" s="63"/>
      <c r="D834" s="1"/>
    </row>
    <row r="835">
      <c r="A835" s="63"/>
      <c r="B835" s="63"/>
      <c r="C835" s="63"/>
      <c r="D835" s="1"/>
    </row>
    <row r="836">
      <c r="A836" s="63"/>
      <c r="B836" s="63"/>
      <c r="C836" s="63"/>
      <c r="D836" s="1"/>
    </row>
    <row r="837">
      <c r="A837" s="63"/>
      <c r="B837" s="63"/>
      <c r="C837" s="63"/>
      <c r="D837" s="1"/>
    </row>
    <row r="838">
      <c r="A838" s="63"/>
      <c r="B838" s="63"/>
      <c r="C838" s="63"/>
      <c r="D838" s="1"/>
    </row>
    <row r="839">
      <c r="A839" s="63"/>
      <c r="B839" s="63"/>
      <c r="C839" s="63"/>
      <c r="D839" s="1"/>
    </row>
    <row r="840">
      <c r="A840" s="63"/>
      <c r="B840" s="63"/>
      <c r="C840" s="63"/>
      <c r="D840" s="1"/>
    </row>
    <row r="841">
      <c r="A841" s="63"/>
      <c r="B841" s="63"/>
      <c r="C841" s="63"/>
      <c r="D841" s="1"/>
    </row>
    <row r="842">
      <c r="A842" s="63"/>
      <c r="B842" s="63"/>
      <c r="C842" s="63"/>
      <c r="D842" s="1"/>
    </row>
    <row r="843">
      <c r="A843" s="63"/>
      <c r="B843" s="63"/>
      <c r="C843" s="63"/>
      <c r="D843" s="1"/>
    </row>
    <row r="844">
      <c r="A844" s="63"/>
      <c r="B844" s="63"/>
      <c r="C844" s="63"/>
      <c r="D844" s="1"/>
    </row>
    <row r="845">
      <c r="A845" s="63"/>
      <c r="B845" s="63"/>
      <c r="C845" s="63"/>
      <c r="D845" s="1"/>
    </row>
    <row r="846">
      <c r="A846" s="63"/>
      <c r="B846" s="63"/>
      <c r="C846" s="63"/>
      <c r="D846" s="1"/>
    </row>
    <row r="847">
      <c r="A847" s="63"/>
      <c r="B847" s="63"/>
      <c r="C847" s="63"/>
      <c r="D847" s="1"/>
    </row>
    <row r="848">
      <c r="A848" s="63"/>
      <c r="B848" s="63"/>
      <c r="C848" s="63"/>
      <c r="D848" s="1"/>
    </row>
    <row r="849">
      <c r="A849" s="63"/>
      <c r="B849" s="63"/>
      <c r="C849" s="63"/>
      <c r="D849" s="1"/>
    </row>
    <row r="850">
      <c r="A850" s="63"/>
      <c r="B850" s="63"/>
      <c r="C850" s="63"/>
      <c r="D850" s="1"/>
    </row>
    <row r="851">
      <c r="A851" s="63"/>
      <c r="B851" s="63"/>
      <c r="C851" s="63"/>
      <c r="D851" s="1"/>
    </row>
    <row r="852">
      <c r="A852" s="63"/>
      <c r="B852" s="63"/>
      <c r="C852" s="63"/>
      <c r="D852" s="1"/>
    </row>
    <row r="853">
      <c r="A853" s="63"/>
      <c r="B853" s="63"/>
      <c r="C853" s="63"/>
      <c r="D853" s="1"/>
    </row>
    <row r="854">
      <c r="A854" s="63"/>
      <c r="B854" s="63"/>
      <c r="C854" s="63"/>
      <c r="D854" s="1"/>
    </row>
    <row r="855">
      <c r="A855" s="63"/>
      <c r="B855" s="63"/>
      <c r="C855" s="63"/>
      <c r="D855" s="1"/>
    </row>
    <row r="856">
      <c r="A856" s="63"/>
      <c r="B856" s="63"/>
      <c r="C856" s="63"/>
      <c r="D856" s="1"/>
    </row>
    <row r="857">
      <c r="A857" s="63"/>
      <c r="B857" s="63"/>
      <c r="C857" s="63"/>
      <c r="D857" s="1"/>
    </row>
    <row r="858">
      <c r="A858" s="63"/>
      <c r="B858" s="63"/>
      <c r="C858" s="63"/>
      <c r="D858" s="1"/>
    </row>
    <row r="859">
      <c r="A859" s="63"/>
      <c r="B859" s="63"/>
      <c r="C859" s="63"/>
      <c r="D859" s="1"/>
    </row>
    <row r="860">
      <c r="A860" s="63"/>
      <c r="B860" s="63"/>
      <c r="C860" s="63"/>
      <c r="D860" s="1"/>
    </row>
    <row r="861">
      <c r="A861" s="63"/>
      <c r="B861" s="63"/>
      <c r="C861" s="63"/>
      <c r="D861" s="1"/>
    </row>
    <row r="862">
      <c r="A862" s="63"/>
      <c r="B862" s="63"/>
      <c r="C862" s="63"/>
      <c r="D862" s="1"/>
    </row>
    <row r="863">
      <c r="A863" s="63"/>
      <c r="B863" s="63"/>
      <c r="C863" s="63"/>
      <c r="D863" s="1"/>
    </row>
    <row r="864">
      <c r="A864" s="63"/>
      <c r="B864" s="63"/>
      <c r="C864" s="63"/>
      <c r="D864" s="1"/>
    </row>
    <row r="865">
      <c r="A865" s="63"/>
      <c r="B865" s="63"/>
      <c r="C865" s="63"/>
      <c r="D865" s="1"/>
    </row>
    <row r="866">
      <c r="A866" s="63"/>
      <c r="B866" s="63"/>
      <c r="C866" s="63"/>
      <c r="D866" s="1"/>
    </row>
    <row r="867">
      <c r="A867" s="63"/>
      <c r="B867" s="63"/>
      <c r="C867" s="63"/>
      <c r="D867" s="1"/>
    </row>
    <row r="868">
      <c r="A868" s="63"/>
      <c r="B868" s="63"/>
      <c r="C868" s="63"/>
      <c r="D868" s="1"/>
    </row>
    <row r="869">
      <c r="A869" s="63"/>
      <c r="B869" s="63"/>
      <c r="C869" s="63"/>
      <c r="D869" s="1"/>
    </row>
    <row r="870">
      <c r="A870" s="63"/>
      <c r="B870" s="63"/>
      <c r="C870" s="63"/>
      <c r="D870" s="1"/>
    </row>
    <row r="871">
      <c r="A871" s="63"/>
      <c r="B871" s="63"/>
      <c r="C871" s="63"/>
      <c r="D871" s="1"/>
    </row>
    <row r="872">
      <c r="A872" s="63"/>
      <c r="B872" s="63"/>
      <c r="C872" s="63"/>
      <c r="D872" s="1"/>
    </row>
    <row r="873">
      <c r="A873" s="63"/>
      <c r="B873" s="63"/>
      <c r="C873" s="63"/>
      <c r="D873" s="1"/>
    </row>
    <row r="874">
      <c r="A874" s="63"/>
      <c r="B874" s="63"/>
      <c r="C874" s="63"/>
      <c r="D874" s="1"/>
    </row>
    <row r="875">
      <c r="A875" s="63"/>
      <c r="B875" s="63"/>
      <c r="C875" s="63"/>
      <c r="D875" s="1"/>
    </row>
    <row r="876">
      <c r="A876" s="63"/>
      <c r="B876" s="63"/>
      <c r="C876" s="63"/>
      <c r="D876" s="1"/>
    </row>
    <row r="877">
      <c r="A877" s="63"/>
      <c r="B877" s="63"/>
      <c r="C877" s="63"/>
      <c r="D877" s="1"/>
    </row>
    <row r="878">
      <c r="A878" s="63"/>
      <c r="B878" s="63"/>
      <c r="C878" s="63"/>
      <c r="D878" s="1"/>
    </row>
    <row r="879">
      <c r="A879" s="63"/>
      <c r="B879" s="63"/>
      <c r="C879" s="63"/>
      <c r="D879" s="1"/>
    </row>
    <row r="880">
      <c r="A880" s="63"/>
      <c r="B880" s="63"/>
      <c r="C880" s="63"/>
      <c r="D880" s="1"/>
    </row>
    <row r="881">
      <c r="A881" s="63"/>
      <c r="B881" s="63"/>
      <c r="C881" s="63"/>
      <c r="D881" s="1"/>
    </row>
    <row r="882">
      <c r="A882" s="63"/>
      <c r="B882" s="63"/>
      <c r="C882" s="63"/>
      <c r="D882" s="1"/>
    </row>
    <row r="883">
      <c r="A883" s="63"/>
      <c r="B883" s="63"/>
      <c r="C883" s="63"/>
      <c r="D883" s="1"/>
    </row>
    <row r="884">
      <c r="A884" s="63"/>
      <c r="B884" s="63"/>
      <c r="C884" s="63"/>
      <c r="D884" s="1"/>
    </row>
    <row r="885">
      <c r="A885" s="63"/>
      <c r="B885" s="63"/>
      <c r="C885" s="63"/>
      <c r="D885" s="1"/>
    </row>
    <row r="886">
      <c r="A886" s="63"/>
      <c r="B886" s="63"/>
      <c r="C886" s="63"/>
      <c r="D886" s="1"/>
    </row>
    <row r="887">
      <c r="A887" s="63"/>
      <c r="B887" s="63"/>
      <c r="C887" s="63"/>
      <c r="D887" s="1"/>
    </row>
    <row r="888">
      <c r="A888" s="63"/>
      <c r="B888" s="63"/>
      <c r="C888" s="63"/>
      <c r="D888" s="1"/>
    </row>
    <row r="889">
      <c r="A889" s="63"/>
      <c r="B889" s="63"/>
      <c r="C889" s="63"/>
      <c r="D889" s="1"/>
    </row>
    <row r="890">
      <c r="A890" s="63"/>
      <c r="B890" s="63"/>
      <c r="C890" s="63"/>
      <c r="D890" s="1"/>
    </row>
    <row r="891">
      <c r="A891" s="63"/>
      <c r="B891" s="63"/>
      <c r="C891" s="63"/>
      <c r="D891" s="1"/>
    </row>
    <row r="892">
      <c r="A892" s="63"/>
      <c r="B892" s="63"/>
      <c r="C892" s="63"/>
      <c r="D892" s="1"/>
    </row>
    <row r="893">
      <c r="A893" s="63"/>
      <c r="B893" s="63"/>
      <c r="C893" s="63"/>
      <c r="D893" s="1"/>
    </row>
    <row r="894">
      <c r="A894" s="63"/>
      <c r="B894" s="63"/>
      <c r="C894" s="63"/>
      <c r="D894" s="1"/>
    </row>
    <row r="895">
      <c r="A895" s="63"/>
      <c r="B895" s="63"/>
      <c r="C895" s="63"/>
      <c r="D895" s="1"/>
    </row>
    <row r="896">
      <c r="A896" s="63"/>
      <c r="B896" s="63"/>
      <c r="C896" s="63"/>
      <c r="D896" s="1"/>
    </row>
    <row r="897">
      <c r="A897" s="63"/>
      <c r="B897" s="63"/>
      <c r="C897" s="63"/>
      <c r="D897" s="1"/>
    </row>
    <row r="898">
      <c r="A898" s="63"/>
      <c r="B898" s="63"/>
      <c r="C898" s="63"/>
      <c r="D898" s="1"/>
    </row>
    <row r="899">
      <c r="A899" s="63"/>
      <c r="B899" s="63"/>
      <c r="C899" s="63"/>
      <c r="D899" s="1"/>
    </row>
    <row r="900">
      <c r="A900" s="63"/>
      <c r="B900" s="63"/>
      <c r="C900" s="63"/>
      <c r="D900" s="1"/>
    </row>
    <row r="901">
      <c r="A901" s="63"/>
      <c r="B901" s="63"/>
      <c r="C901" s="63"/>
      <c r="D901" s="1"/>
    </row>
    <row r="902">
      <c r="A902" s="63"/>
      <c r="B902" s="63"/>
      <c r="C902" s="63"/>
      <c r="D902" s="1"/>
    </row>
    <row r="903">
      <c r="A903" s="63"/>
      <c r="B903" s="63"/>
      <c r="C903" s="63"/>
      <c r="D903" s="1"/>
    </row>
    <row r="904">
      <c r="A904" s="63"/>
      <c r="B904" s="63"/>
      <c r="C904" s="63"/>
      <c r="D904" s="1"/>
    </row>
    <row r="905">
      <c r="A905" s="63"/>
      <c r="B905" s="63"/>
      <c r="C905" s="63"/>
      <c r="D905" s="1"/>
    </row>
    <row r="906">
      <c r="A906" s="63"/>
      <c r="B906" s="63"/>
      <c r="C906" s="63"/>
      <c r="D906" s="1"/>
    </row>
    <row r="907">
      <c r="A907" s="63"/>
      <c r="B907" s="63"/>
      <c r="C907" s="63"/>
      <c r="D907" s="1"/>
    </row>
    <row r="908">
      <c r="A908" s="63"/>
      <c r="B908" s="63"/>
      <c r="C908" s="63"/>
      <c r="D908" s="1"/>
    </row>
    <row r="909">
      <c r="A909" s="63"/>
      <c r="B909" s="63"/>
      <c r="C909" s="63"/>
      <c r="D909" s="1"/>
    </row>
    <row r="910">
      <c r="A910" s="63"/>
      <c r="B910" s="63"/>
      <c r="C910" s="63"/>
      <c r="D910" s="1"/>
    </row>
    <row r="911">
      <c r="A911" s="63"/>
      <c r="B911" s="63"/>
      <c r="C911" s="63"/>
      <c r="D911" s="1"/>
    </row>
    <row r="912">
      <c r="A912" s="63"/>
      <c r="B912" s="63"/>
      <c r="C912" s="63"/>
      <c r="D912" s="1"/>
    </row>
    <row r="913">
      <c r="A913" s="63"/>
      <c r="B913" s="63"/>
      <c r="C913" s="63"/>
      <c r="D913" s="1"/>
    </row>
    <row r="914">
      <c r="A914" s="63"/>
      <c r="B914" s="63"/>
      <c r="C914" s="63"/>
      <c r="D914" s="1"/>
    </row>
    <row r="915">
      <c r="A915" s="63"/>
      <c r="B915" s="63"/>
      <c r="C915" s="63"/>
      <c r="D915" s="1"/>
    </row>
    <row r="916">
      <c r="A916" s="63"/>
      <c r="B916" s="63"/>
      <c r="C916" s="63"/>
      <c r="D916" s="1"/>
    </row>
    <row r="917">
      <c r="A917" s="63"/>
      <c r="B917" s="63"/>
      <c r="C917" s="63"/>
      <c r="D917" s="1"/>
    </row>
    <row r="918">
      <c r="A918" s="63"/>
      <c r="B918" s="63"/>
      <c r="C918" s="63"/>
      <c r="D918" s="1"/>
    </row>
    <row r="919">
      <c r="A919" s="63"/>
      <c r="B919" s="63"/>
      <c r="C919" s="63"/>
      <c r="D919" s="1"/>
    </row>
    <row r="920">
      <c r="A920" s="63"/>
      <c r="B920" s="63"/>
      <c r="C920" s="63"/>
      <c r="D920" s="1"/>
    </row>
    <row r="921">
      <c r="A921" s="63"/>
      <c r="B921" s="63"/>
      <c r="C921" s="63"/>
      <c r="D921" s="1"/>
    </row>
    <row r="922">
      <c r="A922" s="63"/>
      <c r="B922" s="63"/>
      <c r="C922" s="63"/>
      <c r="D922" s="1"/>
    </row>
    <row r="923">
      <c r="A923" s="63"/>
      <c r="B923" s="63"/>
      <c r="C923" s="63"/>
      <c r="D923" s="1"/>
    </row>
    <row r="924">
      <c r="A924" s="63"/>
      <c r="B924" s="63"/>
      <c r="C924" s="63"/>
      <c r="D924" s="1"/>
    </row>
    <row r="925">
      <c r="A925" s="63"/>
      <c r="B925" s="63"/>
      <c r="C925" s="63"/>
      <c r="D925" s="1"/>
    </row>
    <row r="926">
      <c r="A926" s="63"/>
      <c r="B926" s="63"/>
      <c r="C926" s="63"/>
      <c r="D926" s="1"/>
    </row>
    <row r="927">
      <c r="A927" s="63"/>
      <c r="B927" s="63"/>
      <c r="C927" s="63"/>
      <c r="D927" s="1"/>
    </row>
    <row r="928">
      <c r="A928" s="63"/>
      <c r="B928" s="63"/>
      <c r="C928" s="63"/>
      <c r="D928" s="1"/>
    </row>
    <row r="929">
      <c r="A929" s="63"/>
      <c r="B929" s="63"/>
      <c r="C929" s="63"/>
      <c r="D929" s="1"/>
    </row>
    <row r="930">
      <c r="A930" s="63"/>
      <c r="B930" s="63"/>
      <c r="C930" s="63"/>
      <c r="D930" s="1"/>
    </row>
    <row r="931">
      <c r="A931" s="63"/>
      <c r="B931" s="63"/>
      <c r="C931" s="63"/>
      <c r="D931" s="1"/>
    </row>
    <row r="932">
      <c r="A932" s="63"/>
      <c r="B932" s="63"/>
      <c r="C932" s="63"/>
      <c r="D932" s="1"/>
    </row>
    <row r="933">
      <c r="A933" s="63"/>
      <c r="B933" s="63"/>
      <c r="C933" s="63"/>
      <c r="D933" s="1"/>
    </row>
    <row r="934">
      <c r="A934" s="63"/>
      <c r="B934" s="63"/>
      <c r="C934" s="63"/>
      <c r="D934" s="1"/>
    </row>
    <row r="935">
      <c r="A935" s="63"/>
      <c r="B935" s="63"/>
      <c r="C935" s="63"/>
      <c r="D935" s="1"/>
    </row>
    <row r="936">
      <c r="A936" s="63"/>
      <c r="B936" s="63"/>
      <c r="C936" s="63"/>
      <c r="D936" s="1"/>
    </row>
    <row r="937">
      <c r="A937" s="63"/>
      <c r="B937" s="63"/>
      <c r="C937" s="63"/>
      <c r="D937" s="1"/>
    </row>
    <row r="938">
      <c r="A938" s="63"/>
      <c r="B938" s="63"/>
      <c r="C938" s="63"/>
      <c r="D938" s="1"/>
    </row>
    <row r="939">
      <c r="A939" s="63"/>
      <c r="B939" s="63"/>
      <c r="C939" s="63"/>
      <c r="D939" s="1"/>
    </row>
    <row r="940">
      <c r="A940" s="63"/>
      <c r="B940" s="63"/>
      <c r="C940" s="63"/>
      <c r="D940" s="1"/>
    </row>
    <row r="941">
      <c r="A941" s="63"/>
      <c r="B941" s="63"/>
      <c r="C941" s="63"/>
      <c r="D941" s="1"/>
    </row>
    <row r="942">
      <c r="A942" s="63"/>
      <c r="B942" s="63"/>
      <c r="C942" s="63"/>
      <c r="D942" s="1"/>
    </row>
    <row r="943">
      <c r="A943" s="63"/>
      <c r="B943" s="63"/>
      <c r="C943" s="63"/>
      <c r="D943" s="1"/>
    </row>
    <row r="944">
      <c r="A944" s="63"/>
      <c r="B944" s="63"/>
      <c r="C944" s="63"/>
      <c r="D944" s="1"/>
    </row>
    <row r="945">
      <c r="A945" s="63"/>
      <c r="B945" s="63"/>
      <c r="C945" s="63"/>
      <c r="D945" s="1"/>
    </row>
    <row r="946">
      <c r="A946" s="63"/>
      <c r="B946" s="63"/>
      <c r="C946" s="63"/>
      <c r="D946" s="1"/>
    </row>
    <row r="947">
      <c r="A947" s="63"/>
      <c r="B947" s="63"/>
      <c r="C947" s="63"/>
      <c r="D947" s="1"/>
    </row>
    <row r="948">
      <c r="A948" s="63"/>
      <c r="B948" s="63"/>
      <c r="C948" s="63"/>
      <c r="D948" s="1"/>
    </row>
    <row r="949">
      <c r="A949" s="63"/>
      <c r="B949" s="63"/>
      <c r="C949" s="63"/>
      <c r="D949" s="1"/>
    </row>
    <row r="950">
      <c r="A950" s="63"/>
      <c r="B950" s="63"/>
      <c r="C950" s="63"/>
      <c r="D950" s="1"/>
    </row>
    <row r="951">
      <c r="A951" s="63"/>
      <c r="B951" s="63"/>
      <c r="C951" s="63"/>
      <c r="D951" s="1"/>
    </row>
    <row r="952">
      <c r="A952" s="63"/>
      <c r="B952" s="63"/>
      <c r="C952" s="63"/>
      <c r="D952" s="1"/>
    </row>
    <row r="953">
      <c r="A953" s="63"/>
      <c r="B953" s="63"/>
      <c r="C953" s="63"/>
      <c r="D953" s="1"/>
    </row>
    <row r="954">
      <c r="A954" s="63"/>
      <c r="B954" s="63"/>
      <c r="C954" s="63"/>
      <c r="D954" s="1"/>
    </row>
    <row r="955">
      <c r="A955" s="63"/>
      <c r="B955" s="63"/>
      <c r="C955" s="63"/>
      <c r="D955" s="1"/>
    </row>
    <row r="956">
      <c r="A956" s="63"/>
      <c r="B956" s="63"/>
      <c r="C956" s="63"/>
      <c r="D956" s="1"/>
    </row>
    <row r="957">
      <c r="A957" s="63"/>
      <c r="B957" s="63"/>
      <c r="C957" s="63"/>
      <c r="D957" s="1"/>
    </row>
    <row r="958">
      <c r="A958" s="63"/>
      <c r="B958" s="63"/>
      <c r="C958" s="63"/>
      <c r="D958" s="1"/>
    </row>
    <row r="959">
      <c r="A959" s="63"/>
      <c r="B959" s="63"/>
      <c r="C959" s="63"/>
      <c r="D959" s="1"/>
    </row>
    <row r="960">
      <c r="A960" s="63"/>
      <c r="B960" s="63"/>
      <c r="C960" s="63"/>
      <c r="D960" s="1"/>
    </row>
    <row r="961">
      <c r="A961" s="63"/>
      <c r="B961" s="63"/>
      <c r="C961" s="63"/>
      <c r="D961" s="1"/>
    </row>
    <row r="962">
      <c r="A962" s="63"/>
      <c r="B962" s="63"/>
      <c r="C962" s="63"/>
      <c r="D962" s="1"/>
    </row>
    <row r="963">
      <c r="A963" s="63"/>
      <c r="B963" s="63"/>
      <c r="C963" s="63"/>
      <c r="D963" s="1"/>
    </row>
    <row r="964">
      <c r="A964" s="63"/>
      <c r="B964" s="63"/>
      <c r="C964" s="63"/>
      <c r="D964" s="1"/>
    </row>
    <row r="965">
      <c r="A965" s="63"/>
      <c r="B965" s="63"/>
      <c r="C965" s="63"/>
      <c r="D965" s="1"/>
    </row>
    <row r="966">
      <c r="A966" s="63"/>
      <c r="B966" s="63"/>
      <c r="C966" s="63"/>
      <c r="D966" s="1"/>
    </row>
    <row r="967">
      <c r="A967" s="63"/>
      <c r="B967" s="63"/>
      <c r="C967" s="63"/>
      <c r="D967" s="1"/>
    </row>
    <row r="968">
      <c r="A968" s="63"/>
      <c r="B968" s="63"/>
      <c r="C968" s="63"/>
      <c r="D968" s="1"/>
    </row>
    <row r="969">
      <c r="A969" s="63"/>
      <c r="B969" s="63"/>
      <c r="C969" s="63"/>
      <c r="D969" s="1"/>
    </row>
    <row r="970">
      <c r="A970" s="63"/>
      <c r="B970" s="63"/>
      <c r="C970" s="63"/>
      <c r="D970" s="1"/>
    </row>
    <row r="971">
      <c r="A971" s="63"/>
      <c r="B971" s="63"/>
      <c r="C971" s="63"/>
      <c r="D971" s="1"/>
    </row>
    <row r="972">
      <c r="A972" s="63"/>
      <c r="B972" s="63"/>
      <c r="C972" s="63"/>
      <c r="D972" s="1"/>
    </row>
    <row r="973">
      <c r="A973" s="63"/>
      <c r="B973" s="63"/>
      <c r="C973" s="63"/>
      <c r="D973" s="1"/>
    </row>
    <row r="974">
      <c r="A974" s="63"/>
      <c r="B974" s="63"/>
      <c r="C974" s="63"/>
      <c r="D974" s="1"/>
    </row>
    <row r="975">
      <c r="A975" s="63"/>
      <c r="B975" s="63"/>
      <c r="C975" s="63"/>
      <c r="D975" s="1"/>
    </row>
    <row r="976">
      <c r="A976" s="63"/>
      <c r="B976" s="63"/>
      <c r="C976" s="63"/>
      <c r="D976" s="1"/>
    </row>
    <row r="977">
      <c r="A977" s="63"/>
      <c r="B977" s="63"/>
      <c r="C977" s="63"/>
      <c r="D977" s="1"/>
    </row>
    <row r="978">
      <c r="A978" s="63"/>
      <c r="B978" s="63"/>
      <c r="C978" s="63"/>
      <c r="D978" s="1"/>
    </row>
    <row r="979">
      <c r="A979" s="63"/>
      <c r="B979" s="63"/>
      <c r="C979" s="63"/>
      <c r="D979" s="1"/>
    </row>
    <row r="980">
      <c r="A980" s="63"/>
      <c r="B980" s="63"/>
      <c r="C980" s="63"/>
      <c r="D980" s="1"/>
    </row>
    <row r="981">
      <c r="A981" s="63"/>
      <c r="B981" s="63"/>
      <c r="C981" s="63"/>
      <c r="D981" s="1"/>
    </row>
    <row r="982">
      <c r="A982" s="63"/>
      <c r="B982" s="63"/>
      <c r="C982" s="63"/>
      <c r="D982" s="1"/>
    </row>
    <row r="983">
      <c r="A983" s="63"/>
      <c r="B983" s="63"/>
      <c r="C983" s="63"/>
      <c r="D983" s="1"/>
    </row>
    <row r="984">
      <c r="A984" s="63"/>
      <c r="B984" s="63"/>
      <c r="C984" s="63"/>
      <c r="D984" s="1"/>
    </row>
    <row r="985">
      <c r="A985" s="63"/>
      <c r="B985" s="63"/>
      <c r="C985" s="63"/>
      <c r="D985" s="1"/>
    </row>
    <row r="986">
      <c r="A986" s="63"/>
      <c r="B986" s="63"/>
      <c r="C986" s="63"/>
      <c r="D986" s="1"/>
    </row>
    <row r="987">
      <c r="A987" s="63"/>
      <c r="B987" s="63"/>
      <c r="C987" s="63"/>
      <c r="D987" s="1"/>
    </row>
    <row r="988">
      <c r="A988" s="63"/>
      <c r="B988" s="63"/>
      <c r="C988" s="63"/>
      <c r="D988" s="1"/>
    </row>
    <row r="989">
      <c r="A989" s="63"/>
      <c r="B989" s="63"/>
      <c r="C989" s="63"/>
      <c r="D989" s="1"/>
    </row>
    <row r="990">
      <c r="A990" s="63"/>
      <c r="B990" s="63"/>
      <c r="C990" s="63"/>
      <c r="D990" s="1"/>
    </row>
    <row r="991">
      <c r="A991" s="63"/>
      <c r="B991" s="63"/>
      <c r="C991" s="63"/>
      <c r="D991" s="1"/>
    </row>
    <row r="992">
      <c r="A992" s="63"/>
      <c r="B992" s="63"/>
      <c r="C992" s="63"/>
      <c r="D992" s="1"/>
    </row>
    <row r="993">
      <c r="A993" s="63"/>
      <c r="B993" s="63"/>
      <c r="C993" s="63"/>
      <c r="D993" s="1"/>
    </row>
    <row r="994">
      <c r="A994" s="63"/>
      <c r="B994" s="63"/>
      <c r="C994" s="63"/>
      <c r="D994" s="1"/>
    </row>
    <row r="995">
      <c r="A995" s="63"/>
      <c r="B995" s="63"/>
      <c r="C995" s="63"/>
      <c r="D995" s="1"/>
    </row>
    <row r="996">
      <c r="A996" s="63"/>
      <c r="B996" s="63"/>
      <c r="C996" s="63"/>
      <c r="D996" s="1"/>
    </row>
    <row r="997">
      <c r="A997" s="63"/>
      <c r="B997" s="63"/>
      <c r="C997" s="63"/>
      <c r="D997" s="1"/>
    </row>
    <row r="998">
      <c r="A998" s="63"/>
      <c r="B998" s="63"/>
      <c r="C998" s="63"/>
      <c r="D998" s="1"/>
    </row>
    <row r="999">
      <c r="A999" s="63"/>
      <c r="B999" s="63"/>
      <c r="C999" s="63"/>
      <c r="D999" s="1"/>
    </row>
    <row r="1000">
      <c r="A1000" s="63"/>
      <c r="B1000" s="63"/>
      <c r="C1000" s="63"/>
      <c r="D1000" s="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7" t="s">
        <v>167</v>
      </c>
      <c r="B1" s="87" t="s">
        <v>168</v>
      </c>
      <c r="C1" s="88" t="s">
        <v>169</v>
      </c>
    </row>
    <row r="2">
      <c r="A2" s="1" t="s">
        <v>173</v>
      </c>
      <c r="B2" s="1" t="s">
        <v>174</v>
      </c>
      <c r="C2" s="29">
        <v>14500.0</v>
      </c>
    </row>
    <row r="3">
      <c r="A3" s="1" t="s">
        <v>180</v>
      </c>
      <c r="B3" s="1" t="s">
        <v>181</v>
      </c>
      <c r="C3" s="29">
        <v>6700.0</v>
      </c>
    </row>
    <row r="4">
      <c r="A4" s="1" t="s">
        <v>182</v>
      </c>
      <c r="B4" s="1" t="s">
        <v>175</v>
      </c>
      <c r="C4" s="29">
        <v>8200.0</v>
      </c>
    </row>
    <row r="5">
      <c r="A5" s="1" t="s">
        <v>184</v>
      </c>
      <c r="B5" s="1" t="s">
        <v>183</v>
      </c>
      <c r="C5" s="29">
        <v>11000.0</v>
      </c>
    </row>
    <row r="6">
      <c r="A6" s="1" t="s">
        <v>185</v>
      </c>
      <c r="B6" s="1" t="s">
        <v>186</v>
      </c>
      <c r="C6" s="29">
        <v>3000.0</v>
      </c>
    </row>
    <row r="7">
      <c r="A7" s="1" t="s">
        <v>173</v>
      </c>
      <c r="B7" s="1" t="s">
        <v>183</v>
      </c>
      <c r="C7" s="29">
        <v>15500.0</v>
      </c>
    </row>
    <row r="8">
      <c r="A8" s="1" t="s">
        <v>182</v>
      </c>
      <c r="B8" s="1" t="s">
        <v>174</v>
      </c>
      <c r="C8" s="29">
        <v>7800.0</v>
      </c>
    </row>
    <row r="9">
      <c r="A9" s="1" t="s">
        <v>184</v>
      </c>
      <c r="B9" s="1" t="s">
        <v>181</v>
      </c>
      <c r="C9" s="29">
        <v>12000.0</v>
      </c>
    </row>
    <row r="10">
      <c r="A10" s="1" t="s">
        <v>180</v>
      </c>
      <c r="B10" s="1" t="s">
        <v>175</v>
      </c>
      <c r="C10" s="29">
        <v>8900.0</v>
      </c>
    </row>
    <row r="11">
      <c r="A11" s="1" t="s">
        <v>185</v>
      </c>
      <c r="B11" s="1" t="s">
        <v>174</v>
      </c>
      <c r="C11" s="29">
        <v>5600.0</v>
      </c>
    </row>
    <row r="12">
      <c r="A12" s="1" t="s">
        <v>182</v>
      </c>
      <c r="B12" s="1" t="s">
        <v>183</v>
      </c>
      <c r="C12" s="29">
        <v>17000.0</v>
      </c>
    </row>
    <row r="13">
      <c r="A13" s="1" t="s">
        <v>173</v>
      </c>
      <c r="B13" s="1" t="s">
        <v>181</v>
      </c>
      <c r="C13" s="29">
        <v>13500.0</v>
      </c>
    </row>
    <row r="14">
      <c r="A14" s="1" t="s">
        <v>184</v>
      </c>
      <c r="B14" s="1" t="s">
        <v>174</v>
      </c>
      <c r="C14" s="29">
        <v>4200.0</v>
      </c>
    </row>
    <row r="15">
      <c r="A15" s="1" t="s">
        <v>185</v>
      </c>
      <c r="B15" s="1" t="s">
        <v>186</v>
      </c>
      <c r="C15" s="29">
        <v>3700.0</v>
      </c>
    </row>
    <row r="16">
      <c r="A16" s="1" t="s">
        <v>180</v>
      </c>
      <c r="B16" s="1" t="s">
        <v>181</v>
      </c>
      <c r="C16" s="29">
        <v>15000.0</v>
      </c>
    </row>
    <row r="17">
      <c r="A17" s="1" t="s">
        <v>182</v>
      </c>
      <c r="B17" s="1" t="s">
        <v>175</v>
      </c>
      <c r="C17" s="29">
        <v>2700.0</v>
      </c>
    </row>
    <row r="18">
      <c r="A18" s="1" t="s">
        <v>173</v>
      </c>
      <c r="B18" s="1" t="s">
        <v>183</v>
      </c>
      <c r="C18" s="29">
        <v>14200.0</v>
      </c>
    </row>
    <row r="19">
      <c r="A19" s="1" t="s">
        <v>180</v>
      </c>
      <c r="B19" s="1" t="s">
        <v>174</v>
      </c>
      <c r="C19" s="29">
        <v>10300.0</v>
      </c>
    </row>
    <row r="20">
      <c r="A20" s="1" t="s">
        <v>184</v>
      </c>
      <c r="B20" s="1" t="s">
        <v>181</v>
      </c>
      <c r="C20" s="29">
        <v>14500.0</v>
      </c>
    </row>
    <row r="21">
      <c r="A21" s="1" t="s">
        <v>185</v>
      </c>
      <c r="B21" s="1" t="s">
        <v>175</v>
      </c>
      <c r="C21" s="29">
        <v>3500.0</v>
      </c>
    </row>
    <row r="22">
      <c r="A22" s="1" t="s">
        <v>182</v>
      </c>
      <c r="B22" s="1" t="s">
        <v>181</v>
      </c>
      <c r="C22" s="29">
        <v>16000.0</v>
      </c>
    </row>
    <row r="23">
      <c r="A23" s="1" t="s">
        <v>173</v>
      </c>
      <c r="B23" s="1" t="s">
        <v>174</v>
      </c>
      <c r="C23" s="29">
        <v>5200.0</v>
      </c>
    </row>
    <row r="24">
      <c r="A24" s="1" t="s">
        <v>184</v>
      </c>
      <c r="B24" s="1" t="s">
        <v>175</v>
      </c>
      <c r="C24" s="29">
        <v>4800.0</v>
      </c>
    </row>
    <row r="25">
      <c r="A25" s="1" t="s">
        <v>180</v>
      </c>
      <c r="B25" s="1" t="s">
        <v>183</v>
      </c>
      <c r="C25" s="29">
        <v>7600.0</v>
      </c>
    </row>
    <row r="26">
      <c r="A26" s="1" t="s">
        <v>185</v>
      </c>
      <c r="B26" s="1" t="s">
        <v>186</v>
      </c>
      <c r="C26" s="29">
        <v>2950.0</v>
      </c>
    </row>
    <row r="27">
      <c r="A27" s="1" t="s">
        <v>173</v>
      </c>
      <c r="B27" s="1" t="s">
        <v>181</v>
      </c>
      <c r="C27" s="29">
        <v>12500.0</v>
      </c>
    </row>
    <row r="28">
      <c r="A28" s="1" t="s">
        <v>182</v>
      </c>
      <c r="B28" s="1" t="s">
        <v>175</v>
      </c>
      <c r="C28" s="29">
        <v>8600.0</v>
      </c>
    </row>
    <row r="29">
      <c r="A29" s="1" t="s">
        <v>180</v>
      </c>
      <c r="B29" s="1" t="s">
        <v>174</v>
      </c>
      <c r="C29" s="29">
        <v>10700.0</v>
      </c>
    </row>
    <row r="30">
      <c r="A30" s="1" t="s">
        <v>184</v>
      </c>
      <c r="B30" s="1" t="s">
        <v>181</v>
      </c>
      <c r="C30" s="29">
        <v>13000.0</v>
      </c>
    </row>
    <row r="31">
      <c r="A31" s="1" t="s">
        <v>185</v>
      </c>
      <c r="B31" s="1" t="s">
        <v>186</v>
      </c>
      <c r="C31" s="29">
        <v>2500.0</v>
      </c>
    </row>
    <row r="32">
      <c r="A32" s="1" t="s">
        <v>182</v>
      </c>
      <c r="B32" s="1" t="s">
        <v>174</v>
      </c>
      <c r="C32" s="29">
        <v>6300.0</v>
      </c>
    </row>
    <row r="33">
      <c r="A33" s="1" t="s">
        <v>173</v>
      </c>
      <c r="B33" s="1" t="s">
        <v>183</v>
      </c>
      <c r="C33" s="29">
        <v>9500.0</v>
      </c>
    </row>
    <row r="34">
      <c r="A34" s="1" t="s">
        <v>180</v>
      </c>
      <c r="B34" s="1" t="s">
        <v>181</v>
      </c>
      <c r="C34" s="29">
        <v>14900.0</v>
      </c>
    </row>
    <row r="35">
      <c r="A35" s="1" t="s">
        <v>184</v>
      </c>
      <c r="B35" s="1" t="s">
        <v>174</v>
      </c>
      <c r="C35" s="29">
        <v>4100.0</v>
      </c>
    </row>
    <row r="36">
      <c r="A36" s="1" t="s">
        <v>185</v>
      </c>
      <c r="B36" s="1" t="s">
        <v>175</v>
      </c>
      <c r="C36" s="29">
        <v>3400.0</v>
      </c>
    </row>
    <row r="37">
      <c r="A37" s="1" t="s">
        <v>182</v>
      </c>
      <c r="B37" s="1" t="s">
        <v>183</v>
      </c>
      <c r="C37" s="29">
        <v>9800.0</v>
      </c>
    </row>
    <row r="38">
      <c r="A38" s="1" t="s">
        <v>173</v>
      </c>
      <c r="B38" s="1" t="s">
        <v>181</v>
      </c>
      <c r="C38" s="29">
        <v>13500.0</v>
      </c>
    </row>
    <row r="39">
      <c r="A39" s="1" t="s">
        <v>180</v>
      </c>
      <c r="B39" s="1" t="s">
        <v>175</v>
      </c>
      <c r="C39" s="29">
        <v>6700.0</v>
      </c>
    </row>
    <row r="40">
      <c r="A40" s="1" t="s">
        <v>184</v>
      </c>
      <c r="B40" s="1" t="s">
        <v>183</v>
      </c>
      <c r="C40" s="29">
        <v>13200.0</v>
      </c>
    </row>
    <row r="41">
      <c r="A41" s="1" t="s">
        <v>185</v>
      </c>
      <c r="B41" s="1" t="s">
        <v>174</v>
      </c>
      <c r="C41" s="29">
        <v>5800.0</v>
      </c>
    </row>
    <row r="42">
      <c r="A42" s="1" t="s">
        <v>173</v>
      </c>
      <c r="B42" s="1" t="s">
        <v>183</v>
      </c>
      <c r="C42" s="29">
        <v>14700.0</v>
      </c>
    </row>
    <row r="43">
      <c r="A43" s="1" t="s">
        <v>182</v>
      </c>
      <c r="B43" s="1" t="s">
        <v>181</v>
      </c>
      <c r="C43" s="29">
        <v>11800.0</v>
      </c>
    </row>
    <row r="44">
      <c r="A44" s="1" t="s">
        <v>180</v>
      </c>
      <c r="B44" s="1" t="s">
        <v>174</v>
      </c>
      <c r="C44" s="29">
        <v>10400.0</v>
      </c>
    </row>
    <row r="45">
      <c r="A45" s="1" t="s">
        <v>184</v>
      </c>
      <c r="B45" s="1" t="s">
        <v>186</v>
      </c>
      <c r="C45" s="29">
        <v>2750.0</v>
      </c>
    </row>
    <row r="46">
      <c r="A46" s="1" t="s">
        <v>185</v>
      </c>
      <c r="B46" s="1" t="s">
        <v>175</v>
      </c>
      <c r="C46" s="29">
        <v>3300.0</v>
      </c>
    </row>
    <row r="47">
      <c r="A47" s="1" t="s">
        <v>182</v>
      </c>
      <c r="B47" s="1" t="s">
        <v>183</v>
      </c>
      <c r="C47" s="29">
        <v>15500.0</v>
      </c>
    </row>
    <row r="48">
      <c r="A48" s="1" t="s">
        <v>173</v>
      </c>
      <c r="B48" s="1" t="s">
        <v>181</v>
      </c>
      <c r="C48" s="29">
        <v>13800.0</v>
      </c>
    </row>
    <row r="49">
      <c r="A49" s="1" t="s">
        <v>180</v>
      </c>
      <c r="B49" s="1" t="s">
        <v>186</v>
      </c>
      <c r="C49" s="29">
        <v>2600.0</v>
      </c>
    </row>
    <row r="50">
      <c r="A50" s="1" t="s">
        <v>184</v>
      </c>
      <c r="B50" s="1" t="s">
        <v>174</v>
      </c>
      <c r="C50" s="29">
        <v>4200.0</v>
      </c>
    </row>
    <row r="51">
      <c r="A51" s="1" t="s">
        <v>185</v>
      </c>
      <c r="B51" s="1" t="s">
        <v>175</v>
      </c>
      <c r="C51" s="29">
        <v>2800.0</v>
      </c>
    </row>
    <row r="52">
      <c r="A52" s="1" t="s">
        <v>182</v>
      </c>
      <c r="B52" s="1" t="s">
        <v>181</v>
      </c>
      <c r="C52" s="29">
        <v>16200.0</v>
      </c>
    </row>
    <row r="53">
      <c r="A53" s="1" t="s">
        <v>173</v>
      </c>
      <c r="B53" s="1" t="s">
        <v>175</v>
      </c>
      <c r="C53" s="29">
        <v>5900.0</v>
      </c>
    </row>
    <row r="54">
      <c r="A54" s="1" t="s">
        <v>180</v>
      </c>
      <c r="B54" s="1" t="s">
        <v>183</v>
      </c>
      <c r="C54" s="29">
        <v>9200.0</v>
      </c>
    </row>
    <row r="55">
      <c r="A55" s="1" t="s">
        <v>184</v>
      </c>
      <c r="B55" s="1" t="s">
        <v>186</v>
      </c>
      <c r="C55" s="29">
        <v>3400.0</v>
      </c>
    </row>
    <row r="56">
      <c r="A56" s="1" t="s">
        <v>185</v>
      </c>
      <c r="B56" s="1" t="s">
        <v>181</v>
      </c>
      <c r="C56" s="29">
        <v>18000.0</v>
      </c>
    </row>
    <row r="57">
      <c r="A57" s="1" t="s">
        <v>182</v>
      </c>
      <c r="B57" s="1" t="s">
        <v>174</v>
      </c>
      <c r="C57" s="29">
        <v>7400.0</v>
      </c>
    </row>
    <row r="58">
      <c r="A58" s="1" t="s">
        <v>173</v>
      </c>
      <c r="B58" s="1" t="s">
        <v>181</v>
      </c>
      <c r="C58" s="29">
        <v>11200.0</v>
      </c>
    </row>
    <row r="59">
      <c r="A59" s="1" t="s">
        <v>180</v>
      </c>
      <c r="B59" s="1" t="s">
        <v>175</v>
      </c>
      <c r="C59" s="29">
        <v>6600.0</v>
      </c>
    </row>
    <row r="60">
      <c r="A60" s="1" t="s">
        <v>184</v>
      </c>
      <c r="B60" s="1" t="s">
        <v>183</v>
      </c>
      <c r="C60" s="29">
        <v>12500.0</v>
      </c>
    </row>
    <row r="61">
      <c r="A61" s="1" t="s">
        <v>185</v>
      </c>
      <c r="B61" s="1" t="s">
        <v>186</v>
      </c>
      <c r="C61" s="29">
        <v>3000.0</v>
      </c>
    </row>
    <row r="62">
      <c r="A62" s="1" t="s">
        <v>182</v>
      </c>
      <c r="B62" s="1" t="s">
        <v>175</v>
      </c>
      <c r="C62" s="29">
        <v>8200.0</v>
      </c>
    </row>
    <row r="63">
      <c r="A63" s="1" t="s">
        <v>173</v>
      </c>
      <c r="B63" s="1" t="s">
        <v>183</v>
      </c>
      <c r="C63" s="29">
        <v>10000.0</v>
      </c>
    </row>
    <row r="64">
      <c r="A64" s="1" t="s">
        <v>180</v>
      </c>
      <c r="B64" s="1" t="s">
        <v>174</v>
      </c>
      <c r="C64" s="29">
        <v>10600.0</v>
      </c>
    </row>
    <row r="65">
      <c r="A65" s="1" t="s">
        <v>184</v>
      </c>
      <c r="B65" s="1" t="s">
        <v>181</v>
      </c>
      <c r="C65" s="29">
        <v>13500.0</v>
      </c>
    </row>
    <row r="66">
      <c r="A66" s="1" t="s">
        <v>185</v>
      </c>
      <c r="B66" s="1" t="s">
        <v>175</v>
      </c>
      <c r="C66" s="29">
        <v>3400.0</v>
      </c>
    </row>
    <row r="67">
      <c r="A67" s="1" t="s">
        <v>182</v>
      </c>
      <c r="B67" s="1" t="s">
        <v>181</v>
      </c>
      <c r="C67" s="29">
        <v>17500.0</v>
      </c>
    </row>
    <row r="68">
      <c r="A68" s="1" t="s">
        <v>173</v>
      </c>
      <c r="B68" s="1" t="s">
        <v>174</v>
      </c>
      <c r="C68" s="29">
        <v>5200.0</v>
      </c>
    </row>
    <row r="69">
      <c r="A69" s="1" t="s">
        <v>180</v>
      </c>
      <c r="B69" s="1" t="s">
        <v>183</v>
      </c>
      <c r="C69" s="29">
        <v>9800.0</v>
      </c>
    </row>
    <row r="70">
      <c r="A70" s="1" t="s">
        <v>184</v>
      </c>
      <c r="B70" s="1" t="s">
        <v>186</v>
      </c>
      <c r="C70" s="29">
        <v>2700.0</v>
      </c>
    </row>
    <row r="71">
      <c r="A71" s="1" t="s">
        <v>185</v>
      </c>
      <c r="B71" s="1" t="s">
        <v>181</v>
      </c>
      <c r="C71" s="29">
        <v>16000.0</v>
      </c>
    </row>
    <row r="72">
      <c r="A72" s="1" t="s">
        <v>182</v>
      </c>
      <c r="B72" s="1" t="s">
        <v>174</v>
      </c>
      <c r="C72" s="29">
        <v>6700.0</v>
      </c>
    </row>
    <row r="73">
      <c r="A73" s="1" t="s">
        <v>173</v>
      </c>
      <c r="B73" s="1" t="s">
        <v>181</v>
      </c>
      <c r="C73" s="29">
        <v>13200.0</v>
      </c>
    </row>
    <row r="74">
      <c r="A74" s="1" t="s">
        <v>180</v>
      </c>
      <c r="B74" s="1" t="s">
        <v>175</v>
      </c>
      <c r="C74" s="29">
        <v>7600.0</v>
      </c>
    </row>
    <row r="75">
      <c r="A75" s="1" t="s">
        <v>184</v>
      </c>
      <c r="B75" s="1" t="s">
        <v>183</v>
      </c>
      <c r="C75" s="29">
        <v>12700.0</v>
      </c>
    </row>
    <row r="76">
      <c r="A76" s="1" t="s">
        <v>185</v>
      </c>
      <c r="B76" s="1" t="s">
        <v>186</v>
      </c>
      <c r="C76" s="29">
        <v>3400.0</v>
      </c>
    </row>
    <row r="77">
      <c r="A77" s="1" t="s">
        <v>182</v>
      </c>
      <c r="B77" s="1" t="s">
        <v>183</v>
      </c>
      <c r="C77" s="29">
        <v>14800.0</v>
      </c>
    </row>
    <row r="78">
      <c r="A78" s="1" t="s">
        <v>173</v>
      </c>
      <c r="B78" s="1" t="s">
        <v>174</v>
      </c>
      <c r="C78" s="29">
        <v>10700.0</v>
      </c>
    </row>
    <row r="79">
      <c r="A79" s="1" t="s">
        <v>180</v>
      </c>
      <c r="B79" s="1" t="s">
        <v>181</v>
      </c>
      <c r="C79" s="29">
        <v>14500.0</v>
      </c>
    </row>
    <row r="80">
      <c r="A80" s="1" t="s">
        <v>184</v>
      </c>
      <c r="B80" s="1" t="s">
        <v>175</v>
      </c>
      <c r="C80" s="29">
        <v>4400.0</v>
      </c>
    </row>
    <row r="81">
      <c r="A81" s="1" t="s">
        <v>185</v>
      </c>
      <c r="B81" s="1" t="s">
        <v>174</v>
      </c>
      <c r="C81" s="29">
        <v>5600.0</v>
      </c>
    </row>
    <row r="82">
      <c r="A82" s="1" t="s">
        <v>182</v>
      </c>
      <c r="B82" s="1" t="s">
        <v>181</v>
      </c>
      <c r="C82" s="29">
        <v>16300.0</v>
      </c>
    </row>
    <row r="83">
      <c r="A83" s="1" t="s">
        <v>173</v>
      </c>
      <c r="B83" s="1" t="s">
        <v>183</v>
      </c>
      <c r="C83" s="29">
        <v>10900.0</v>
      </c>
    </row>
    <row r="84">
      <c r="A84" s="1" t="s">
        <v>180</v>
      </c>
      <c r="B84" s="1" t="s">
        <v>174</v>
      </c>
      <c r="C84" s="29">
        <v>9200.0</v>
      </c>
    </row>
    <row r="85">
      <c r="A85" s="1" t="s">
        <v>184</v>
      </c>
      <c r="B85" s="1" t="s">
        <v>186</v>
      </c>
      <c r="C85" s="29">
        <v>2600.0</v>
      </c>
    </row>
    <row r="86">
      <c r="A86" s="1" t="s">
        <v>185</v>
      </c>
      <c r="B86" s="1" t="s">
        <v>181</v>
      </c>
      <c r="C86" s="29">
        <v>17000.0</v>
      </c>
    </row>
    <row r="87">
      <c r="A87" s="1" t="s">
        <v>182</v>
      </c>
      <c r="B87" s="1" t="s">
        <v>175</v>
      </c>
      <c r="C87" s="29">
        <v>6700.0</v>
      </c>
    </row>
    <row r="88">
      <c r="A88" s="1" t="s">
        <v>173</v>
      </c>
      <c r="B88" s="1" t="s">
        <v>181</v>
      </c>
      <c r="C88" s="29">
        <v>12000.0</v>
      </c>
    </row>
    <row r="89">
      <c r="A89" s="1" t="s">
        <v>180</v>
      </c>
      <c r="B89" s="1" t="s">
        <v>183</v>
      </c>
      <c r="C89" s="29">
        <v>10700.0</v>
      </c>
    </row>
    <row r="90">
      <c r="A90" s="1" t="s">
        <v>184</v>
      </c>
      <c r="B90" s="1" t="s">
        <v>174</v>
      </c>
      <c r="C90" s="29">
        <v>6800.0</v>
      </c>
    </row>
    <row r="91">
      <c r="A91" s="1" t="s">
        <v>185</v>
      </c>
      <c r="B91" s="1" t="s">
        <v>186</v>
      </c>
      <c r="C91" s="29">
        <v>3200.0</v>
      </c>
    </row>
    <row r="92">
      <c r="A92" s="1" t="s">
        <v>182</v>
      </c>
      <c r="B92" s="1" t="s">
        <v>183</v>
      </c>
      <c r="C92" s="29">
        <v>9800.0</v>
      </c>
    </row>
    <row r="93">
      <c r="A93" s="1" t="s">
        <v>173</v>
      </c>
      <c r="B93" s="1" t="s">
        <v>174</v>
      </c>
      <c r="C93" s="29">
        <v>9100.0</v>
      </c>
    </row>
    <row r="94">
      <c r="A94" s="1" t="s">
        <v>180</v>
      </c>
      <c r="B94" s="1" t="s">
        <v>181</v>
      </c>
      <c r="C94" s="29">
        <v>15200.0</v>
      </c>
    </row>
    <row r="95">
      <c r="A95" s="1" t="s">
        <v>184</v>
      </c>
      <c r="B95" s="1" t="s">
        <v>175</v>
      </c>
      <c r="C95" s="29">
        <v>4500.0</v>
      </c>
    </row>
    <row r="96">
      <c r="A96" s="1" t="s">
        <v>185</v>
      </c>
      <c r="B96" s="1" t="s">
        <v>183</v>
      </c>
      <c r="C96" s="29">
        <v>11800.0</v>
      </c>
    </row>
    <row r="97">
      <c r="A97" s="1"/>
      <c r="B97" s="1"/>
      <c r="C97" s="28"/>
    </row>
    <row r="98">
      <c r="A98" s="1"/>
      <c r="B98" s="1"/>
      <c r="C98" s="28"/>
    </row>
    <row r="99">
      <c r="A99" s="1"/>
      <c r="B99" s="1"/>
      <c r="C99" s="28"/>
    </row>
    <row r="100">
      <c r="A100" s="1"/>
      <c r="B100" s="1"/>
      <c r="C100" s="28"/>
    </row>
    <row r="101">
      <c r="A101" s="1"/>
      <c r="B101" s="1"/>
      <c r="C101" s="28"/>
    </row>
    <row r="102">
      <c r="A102" s="1"/>
      <c r="B102" s="1"/>
      <c r="C102" s="28"/>
    </row>
    <row r="103">
      <c r="A103" s="1"/>
      <c r="B103" s="1"/>
      <c r="C103" s="28"/>
    </row>
    <row r="104">
      <c r="A104" s="1"/>
      <c r="B104" s="1"/>
      <c r="C104" s="28"/>
    </row>
    <row r="105">
      <c r="A105" s="1"/>
      <c r="B105" s="1"/>
      <c r="C105" s="28"/>
    </row>
    <row r="106">
      <c r="A106" s="1"/>
      <c r="B106" s="1"/>
      <c r="C106" s="28"/>
    </row>
    <row r="107">
      <c r="A107" s="1"/>
      <c r="B107" s="1"/>
      <c r="C107" s="28"/>
    </row>
    <row r="108">
      <c r="A108" s="1"/>
      <c r="B108" s="1"/>
      <c r="C108" s="28"/>
    </row>
    <row r="109">
      <c r="A109" s="1"/>
      <c r="B109" s="1"/>
      <c r="C109" s="28"/>
    </row>
    <row r="110">
      <c r="A110" s="1"/>
      <c r="B110" s="1"/>
      <c r="C110" s="28"/>
    </row>
    <row r="111">
      <c r="A111" s="1"/>
      <c r="B111" s="1"/>
      <c r="C111" s="28"/>
    </row>
    <row r="112">
      <c r="A112" s="1"/>
      <c r="B112" s="1"/>
      <c r="C112" s="28"/>
    </row>
    <row r="113">
      <c r="A113" s="1"/>
      <c r="B113" s="1"/>
      <c r="C113" s="28"/>
    </row>
    <row r="114">
      <c r="A114" s="1"/>
      <c r="B114" s="1"/>
      <c r="C114" s="28"/>
    </row>
    <row r="115">
      <c r="A115" s="1"/>
      <c r="B115" s="1"/>
      <c r="C115" s="28"/>
    </row>
    <row r="116">
      <c r="A116" s="1"/>
      <c r="B116" s="1"/>
      <c r="C116" s="28"/>
    </row>
    <row r="117">
      <c r="A117" s="1"/>
      <c r="B117" s="1"/>
      <c r="C117" s="28"/>
    </row>
    <row r="118">
      <c r="A118" s="1"/>
      <c r="B118" s="1"/>
      <c r="C118" s="28"/>
    </row>
    <row r="119">
      <c r="A119" s="1"/>
      <c r="B119" s="1"/>
      <c r="C119" s="28"/>
    </row>
    <row r="120">
      <c r="A120" s="1"/>
      <c r="B120" s="1"/>
      <c r="C120" s="28"/>
    </row>
    <row r="121">
      <c r="A121" s="1"/>
      <c r="B121" s="1"/>
      <c r="C121" s="28"/>
    </row>
    <row r="122">
      <c r="A122" s="1"/>
      <c r="B122" s="1"/>
      <c r="C122" s="28"/>
    </row>
    <row r="123">
      <c r="A123" s="1"/>
      <c r="B123" s="1"/>
      <c r="C123" s="28"/>
    </row>
    <row r="124">
      <c r="A124" s="1"/>
      <c r="B124" s="1"/>
      <c r="C124" s="28"/>
    </row>
    <row r="125">
      <c r="A125" s="1"/>
      <c r="B125" s="1"/>
      <c r="C125" s="28"/>
    </row>
    <row r="126">
      <c r="A126" s="1"/>
      <c r="B126" s="1"/>
      <c r="C126" s="28"/>
    </row>
    <row r="127">
      <c r="A127" s="1"/>
      <c r="B127" s="1"/>
      <c r="C127" s="28"/>
    </row>
    <row r="128">
      <c r="A128" s="1"/>
      <c r="B128" s="1"/>
      <c r="C128" s="28"/>
    </row>
    <row r="129">
      <c r="A129" s="1"/>
      <c r="B129" s="1"/>
      <c r="C129" s="28"/>
    </row>
    <row r="130">
      <c r="A130" s="1"/>
      <c r="B130" s="1"/>
      <c r="C130" s="28"/>
    </row>
    <row r="131">
      <c r="A131" s="1"/>
      <c r="B131" s="1"/>
      <c r="C131" s="28"/>
    </row>
    <row r="132">
      <c r="A132" s="1"/>
      <c r="B132" s="1"/>
      <c r="C132" s="28"/>
    </row>
    <row r="133">
      <c r="A133" s="1"/>
      <c r="B133" s="1"/>
      <c r="C133" s="28"/>
    </row>
    <row r="134">
      <c r="A134" s="1"/>
      <c r="B134" s="1"/>
      <c r="C134" s="28"/>
    </row>
    <row r="135">
      <c r="A135" s="1"/>
      <c r="B135" s="1"/>
      <c r="C135" s="28"/>
    </row>
    <row r="136">
      <c r="A136" s="1"/>
      <c r="B136" s="1"/>
      <c r="C136" s="28"/>
    </row>
    <row r="137">
      <c r="A137" s="1"/>
      <c r="B137" s="1"/>
      <c r="C137" s="28"/>
    </row>
    <row r="138">
      <c r="A138" s="1"/>
      <c r="B138" s="1"/>
      <c r="C138" s="28"/>
    </row>
    <row r="139">
      <c r="A139" s="1"/>
      <c r="B139" s="1"/>
      <c r="C139" s="28"/>
    </row>
    <row r="140">
      <c r="A140" s="1"/>
      <c r="B140" s="1"/>
      <c r="C140" s="28"/>
    </row>
    <row r="141">
      <c r="A141" s="1"/>
      <c r="B141" s="1"/>
      <c r="C141" s="28"/>
    </row>
    <row r="142">
      <c r="A142" s="1"/>
      <c r="B142" s="1"/>
      <c r="C142" s="28"/>
    </row>
    <row r="143">
      <c r="A143" s="1"/>
      <c r="B143" s="1"/>
      <c r="C143" s="28"/>
    </row>
    <row r="144">
      <c r="A144" s="1"/>
      <c r="B144" s="1"/>
      <c r="C144" s="28"/>
    </row>
    <row r="145">
      <c r="A145" s="1"/>
      <c r="B145" s="1"/>
      <c r="C145" s="28"/>
    </row>
    <row r="146">
      <c r="A146" s="1"/>
      <c r="B146" s="1"/>
      <c r="C146" s="28"/>
    </row>
    <row r="147">
      <c r="A147" s="1"/>
      <c r="B147" s="1"/>
      <c r="C147" s="28"/>
    </row>
    <row r="148">
      <c r="A148" s="1"/>
      <c r="B148" s="1"/>
      <c r="C148" s="28"/>
    </row>
    <row r="149">
      <c r="A149" s="1"/>
      <c r="B149" s="1"/>
      <c r="C149" s="28"/>
    </row>
    <row r="150">
      <c r="A150" s="1"/>
      <c r="B150" s="1"/>
      <c r="C150" s="28"/>
    </row>
    <row r="151">
      <c r="A151" s="1"/>
      <c r="B151" s="1"/>
      <c r="C151" s="28"/>
    </row>
    <row r="152">
      <c r="A152" s="1"/>
      <c r="B152" s="1"/>
      <c r="C152" s="28"/>
    </row>
    <row r="153">
      <c r="A153" s="1"/>
      <c r="B153" s="1"/>
      <c r="C153" s="28"/>
    </row>
    <row r="154">
      <c r="A154" s="1"/>
      <c r="B154" s="1"/>
      <c r="C154" s="28"/>
    </row>
    <row r="155">
      <c r="A155" s="1"/>
      <c r="B155" s="1"/>
      <c r="C155" s="28"/>
    </row>
    <row r="156">
      <c r="A156" s="1"/>
      <c r="B156" s="1"/>
      <c r="C156" s="28"/>
    </row>
    <row r="157">
      <c r="A157" s="1"/>
      <c r="B157" s="1"/>
      <c r="C157" s="28"/>
    </row>
    <row r="158">
      <c r="A158" s="1"/>
      <c r="B158" s="1"/>
      <c r="C158" s="28"/>
    </row>
    <row r="159">
      <c r="A159" s="1"/>
      <c r="B159" s="1"/>
      <c r="C159" s="28"/>
    </row>
    <row r="160">
      <c r="A160" s="1"/>
      <c r="B160" s="1"/>
      <c r="C160" s="28"/>
    </row>
    <row r="161">
      <c r="A161" s="1"/>
      <c r="B161" s="1"/>
      <c r="C161" s="28"/>
    </row>
    <row r="162">
      <c r="A162" s="1"/>
      <c r="B162" s="1"/>
      <c r="C162" s="28"/>
    </row>
    <row r="163">
      <c r="A163" s="1"/>
      <c r="B163" s="1"/>
      <c r="C163" s="28"/>
    </row>
    <row r="164">
      <c r="A164" s="1"/>
      <c r="B164" s="1"/>
      <c r="C164" s="28"/>
    </row>
    <row r="165">
      <c r="A165" s="1"/>
      <c r="B165" s="1"/>
      <c r="C165" s="28"/>
    </row>
    <row r="166">
      <c r="A166" s="1"/>
      <c r="B166" s="1"/>
      <c r="C166" s="28"/>
    </row>
    <row r="167">
      <c r="A167" s="1"/>
      <c r="B167" s="1"/>
      <c r="C167" s="28"/>
    </row>
    <row r="168">
      <c r="A168" s="1"/>
      <c r="B168" s="1"/>
      <c r="C168" s="28"/>
    </row>
    <row r="169">
      <c r="A169" s="1"/>
      <c r="B169" s="1"/>
      <c r="C169" s="28"/>
    </row>
    <row r="170">
      <c r="A170" s="1"/>
      <c r="B170" s="1"/>
      <c r="C170" s="28"/>
    </row>
    <row r="171">
      <c r="A171" s="1"/>
      <c r="B171" s="1"/>
      <c r="C171" s="28"/>
    </row>
    <row r="172">
      <c r="A172" s="1"/>
      <c r="B172" s="1"/>
      <c r="C172" s="28"/>
    </row>
    <row r="173">
      <c r="A173" s="1"/>
      <c r="B173" s="1"/>
      <c r="C173" s="28"/>
    </row>
    <row r="174">
      <c r="A174" s="1"/>
      <c r="B174" s="1"/>
      <c r="C174" s="28"/>
    </row>
    <row r="175">
      <c r="A175" s="1"/>
      <c r="B175" s="1"/>
      <c r="C175" s="28"/>
    </row>
    <row r="176">
      <c r="A176" s="1"/>
      <c r="B176" s="1"/>
      <c r="C176" s="28"/>
    </row>
    <row r="177">
      <c r="A177" s="1"/>
      <c r="B177" s="1"/>
      <c r="C177" s="28"/>
    </row>
    <row r="178">
      <c r="A178" s="1"/>
      <c r="B178" s="1"/>
      <c r="C178" s="28"/>
    </row>
    <row r="179">
      <c r="A179" s="1"/>
      <c r="B179" s="1"/>
      <c r="C179" s="28"/>
    </row>
    <row r="180">
      <c r="A180" s="1"/>
      <c r="B180" s="1"/>
      <c r="C180" s="28"/>
    </row>
    <row r="181">
      <c r="A181" s="1"/>
      <c r="B181" s="1"/>
      <c r="C181" s="28"/>
    </row>
    <row r="182">
      <c r="A182" s="1"/>
      <c r="B182" s="1"/>
      <c r="C182" s="28"/>
    </row>
    <row r="183">
      <c r="A183" s="1"/>
      <c r="B183" s="1"/>
      <c r="C183" s="28"/>
    </row>
    <row r="184">
      <c r="A184" s="1"/>
      <c r="B184" s="1"/>
      <c r="C184" s="28"/>
    </row>
    <row r="185">
      <c r="A185" s="1"/>
      <c r="B185" s="1"/>
      <c r="C185" s="28"/>
    </row>
    <row r="186">
      <c r="A186" s="1"/>
      <c r="B186" s="1"/>
      <c r="C186" s="28"/>
    </row>
    <row r="187">
      <c r="A187" s="1"/>
      <c r="B187" s="1"/>
      <c r="C187" s="28"/>
    </row>
    <row r="188">
      <c r="A188" s="1"/>
      <c r="B188" s="1"/>
      <c r="C188" s="28"/>
    </row>
    <row r="189">
      <c r="A189" s="1"/>
      <c r="B189" s="1"/>
      <c r="C189" s="28"/>
    </row>
    <row r="190">
      <c r="A190" s="1"/>
      <c r="B190" s="1"/>
      <c r="C190" s="28"/>
    </row>
    <row r="191">
      <c r="A191" s="1"/>
      <c r="B191" s="1"/>
      <c r="C191" s="28"/>
    </row>
    <row r="192">
      <c r="A192" s="1"/>
      <c r="B192" s="1"/>
      <c r="C192" s="28"/>
    </row>
    <row r="193">
      <c r="A193" s="1"/>
      <c r="B193" s="1"/>
      <c r="C193" s="28"/>
    </row>
    <row r="194">
      <c r="A194" s="1"/>
      <c r="B194" s="1"/>
      <c r="C194" s="28"/>
    </row>
    <row r="195">
      <c r="A195" s="1"/>
      <c r="B195" s="1"/>
      <c r="C195" s="28"/>
    </row>
    <row r="196">
      <c r="A196" s="1"/>
      <c r="B196" s="1"/>
      <c r="C196" s="28"/>
    </row>
    <row r="197">
      <c r="A197" s="1"/>
      <c r="B197" s="1"/>
      <c r="C197" s="28"/>
    </row>
    <row r="198">
      <c r="A198" s="1"/>
      <c r="B198" s="1"/>
      <c r="C198" s="28"/>
    </row>
    <row r="199">
      <c r="A199" s="1"/>
      <c r="B199" s="1"/>
      <c r="C199" s="28"/>
    </row>
    <row r="200">
      <c r="A200" s="1"/>
      <c r="B200" s="1"/>
      <c r="C200" s="28"/>
    </row>
    <row r="201">
      <c r="A201" s="1"/>
      <c r="B201" s="1"/>
      <c r="C201" s="28"/>
    </row>
    <row r="202">
      <c r="A202" s="1"/>
      <c r="B202" s="1"/>
      <c r="C202" s="28"/>
    </row>
    <row r="203">
      <c r="A203" s="1"/>
      <c r="B203" s="1"/>
      <c r="C203" s="28"/>
    </row>
    <row r="204">
      <c r="A204" s="1"/>
      <c r="B204" s="1"/>
      <c r="C204" s="28"/>
    </row>
    <row r="205">
      <c r="A205" s="1"/>
      <c r="B205" s="1"/>
      <c r="C205" s="28"/>
    </row>
    <row r="206">
      <c r="A206" s="1"/>
      <c r="B206" s="1"/>
      <c r="C206" s="28"/>
    </row>
    <row r="207">
      <c r="A207" s="1"/>
      <c r="B207" s="1"/>
      <c r="C207" s="28"/>
    </row>
    <row r="208">
      <c r="A208" s="1"/>
      <c r="B208" s="1"/>
      <c r="C208" s="28"/>
    </row>
    <row r="209">
      <c r="A209" s="1"/>
      <c r="B209" s="1"/>
      <c r="C209" s="28"/>
    </row>
    <row r="210">
      <c r="A210" s="1"/>
      <c r="B210" s="1"/>
      <c r="C210" s="28"/>
    </row>
    <row r="211">
      <c r="A211" s="1"/>
      <c r="B211" s="1"/>
      <c r="C211" s="28"/>
    </row>
    <row r="212">
      <c r="A212" s="1"/>
      <c r="B212" s="1"/>
      <c r="C212" s="28"/>
    </row>
    <row r="213">
      <c r="A213" s="1"/>
      <c r="B213" s="1"/>
      <c r="C213" s="28"/>
    </row>
    <row r="214">
      <c r="A214" s="1"/>
      <c r="B214" s="1"/>
      <c r="C214" s="28"/>
    </row>
    <row r="215">
      <c r="A215" s="1"/>
      <c r="B215" s="1"/>
      <c r="C215" s="28"/>
    </row>
    <row r="216">
      <c r="A216" s="1"/>
      <c r="B216" s="1"/>
      <c r="C216" s="28"/>
    </row>
    <row r="217">
      <c r="A217" s="1"/>
      <c r="B217" s="1"/>
      <c r="C217" s="28"/>
    </row>
    <row r="218">
      <c r="A218" s="1"/>
      <c r="B218" s="1"/>
      <c r="C218" s="28"/>
    </row>
    <row r="219">
      <c r="A219" s="1"/>
      <c r="B219" s="1"/>
      <c r="C219" s="28"/>
    </row>
    <row r="220">
      <c r="A220" s="1"/>
      <c r="B220" s="1"/>
      <c r="C220" s="28"/>
    </row>
    <row r="221">
      <c r="A221" s="1"/>
      <c r="B221" s="1"/>
      <c r="C221" s="28"/>
    </row>
    <row r="222">
      <c r="A222" s="1"/>
      <c r="B222" s="1"/>
      <c r="C222" s="28"/>
    </row>
    <row r="223">
      <c r="A223" s="1"/>
      <c r="B223" s="1"/>
      <c r="C223" s="28"/>
    </row>
    <row r="224">
      <c r="A224" s="1"/>
      <c r="B224" s="1"/>
      <c r="C224" s="28"/>
    </row>
    <row r="225">
      <c r="A225" s="1"/>
      <c r="B225" s="1"/>
      <c r="C225" s="28"/>
    </row>
    <row r="226">
      <c r="A226" s="1"/>
      <c r="B226" s="1"/>
      <c r="C226" s="28"/>
    </row>
    <row r="227">
      <c r="A227" s="1"/>
      <c r="B227" s="1"/>
      <c r="C227" s="28"/>
    </row>
    <row r="228">
      <c r="A228" s="1"/>
      <c r="B228" s="1"/>
      <c r="C228" s="28"/>
    </row>
    <row r="229">
      <c r="A229" s="1"/>
      <c r="B229" s="1"/>
      <c r="C229" s="28"/>
    </row>
    <row r="230">
      <c r="A230" s="1"/>
      <c r="B230" s="1"/>
      <c r="C230" s="28"/>
    </row>
    <row r="231">
      <c r="A231" s="1"/>
      <c r="B231" s="1"/>
      <c r="C231" s="28"/>
    </row>
    <row r="232">
      <c r="A232" s="1"/>
      <c r="B232" s="1"/>
      <c r="C232" s="28"/>
    </row>
    <row r="233">
      <c r="A233" s="1"/>
      <c r="B233" s="1"/>
      <c r="C233" s="28"/>
    </row>
    <row r="234">
      <c r="A234" s="1"/>
      <c r="B234" s="1"/>
      <c r="C234" s="28"/>
    </row>
    <row r="235">
      <c r="A235" s="1"/>
      <c r="B235" s="1"/>
      <c r="C235" s="28"/>
    </row>
    <row r="236">
      <c r="A236" s="1"/>
      <c r="B236" s="1"/>
      <c r="C236" s="28"/>
    </row>
    <row r="237">
      <c r="A237" s="1"/>
      <c r="B237" s="1"/>
      <c r="C237" s="28"/>
    </row>
    <row r="238">
      <c r="A238" s="1"/>
      <c r="B238" s="1"/>
      <c r="C238" s="28"/>
    </row>
    <row r="239">
      <c r="A239" s="1"/>
      <c r="B239" s="1"/>
      <c r="C239" s="28"/>
    </row>
    <row r="240">
      <c r="A240" s="1"/>
      <c r="B240" s="1"/>
      <c r="C240" s="28"/>
    </row>
    <row r="241">
      <c r="A241" s="1"/>
      <c r="B241" s="1"/>
      <c r="C241" s="28"/>
    </row>
    <row r="242">
      <c r="A242" s="1"/>
      <c r="B242" s="1"/>
      <c r="C242" s="28"/>
    </row>
    <row r="243">
      <c r="A243" s="1"/>
      <c r="B243" s="1"/>
      <c r="C243" s="28"/>
    </row>
    <row r="244">
      <c r="A244" s="1"/>
      <c r="B244" s="1"/>
      <c r="C244" s="28"/>
    </row>
    <row r="245">
      <c r="A245" s="1"/>
      <c r="B245" s="1"/>
      <c r="C245" s="28"/>
    </row>
    <row r="246">
      <c r="A246" s="1"/>
      <c r="B246" s="1"/>
      <c r="C246" s="28"/>
    </row>
    <row r="247">
      <c r="A247" s="1"/>
      <c r="B247" s="1"/>
      <c r="C247" s="28"/>
    </row>
    <row r="248">
      <c r="A248" s="1"/>
      <c r="B248" s="1"/>
      <c r="C248" s="28"/>
    </row>
    <row r="249">
      <c r="A249" s="1"/>
      <c r="B249" s="1"/>
      <c r="C249" s="28"/>
    </row>
    <row r="250">
      <c r="A250" s="1"/>
      <c r="B250" s="1"/>
      <c r="C250" s="28"/>
    </row>
    <row r="251">
      <c r="A251" s="1"/>
      <c r="B251" s="1"/>
      <c r="C251" s="28"/>
    </row>
    <row r="252">
      <c r="A252" s="1"/>
      <c r="B252" s="1"/>
      <c r="C252" s="28"/>
    </row>
    <row r="253">
      <c r="A253" s="1"/>
      <c r="B253" s="1"/>
      <c r="C253" s="28"/>
    </row>
    <row r="254">
      <c r="A254" s="1"/>
      <c r="B254" s="1"/>
      <c r="C254" s="28"/>
    </row>
    <row r="255">
      <c r="A255" s="1"/>
      <c r="B255" s="1"/>
      <c r="C255" s="28"/>
    </row>
    <row r="256">
      <c r="A256" s="1"/>
      <c r="B256" s="1"/>
      <c r="C256" s="28"/>
    </row>
    <row r="257">
      <c r="A257" s="1"/>
      <c r="B257" s="1"/>
      <c r="C257" s="28"/>
    </row>
    <row r="258">
      <c r="A258" s="1"/>
      <c r="B258" s="1"/>
      <c r="C258" s="28"/>
    </row>
    <row r="259">
      <c r="A259" s="1"/>
      <c r="B259" s="1"/>
      <c r="C259" s="28"/>
    </row>
    <row r="260">
      <c r="A260" s="1"/>
      <c r="B260" s="1"/>
      <c r="C260" s="28"/>
    </row>
    <row r="261">
      <c r="A261" s="1"/>
      <c r="B261" s="1"/>
      <c r="C261" s="28"/>
    </row>
    <row r="262">
      <c r="A262" s="1"/>
      <c r="B262" s="1"/>
      <c r="C262" s="28"/>
    </row>
    <row r="263">
      <c r="A263" s="1"/>
      <c r="B263" s="1"/>
      <c r="C263" s="28"/>
    </row>
    <row r="264">
      <c r="A264" s="1"/>
      <c r="B264" s="1"/>
      <c r="C264" s="28"/>
    </row>
    <row r="265">
      <c r="A265" s="1"/>
      <c r="B265" s="1"/>
      <c r="C265" s="28"/>
    </row>
    <row r="266">
      <c r="A266" s="1"/>
      <c r="B266" s="1"/>
      <c r="C266" s="28"/>
    </row>
    <row r="267">
      <c r="A267" s="1"/>
      <c r="B267" s="1"/>
      <c r="C267" s="28"/>
    </row>
    <row r="268">
      <c r="A268" s="1"/>
      <c r="B268" s="1"/>
      <c r="C268" s="28"/>
    </row>
    <row r="269">
      <c r="A269" s="1"/>
      <c r="B269" s="1"/>
      <c r="C269" s="28"/>
    </row>
    <row r="270">
      <c r="A270" s="1"/>
      <c r="B270" s="1"/>
      <c r="C270" s="28"/>
    </row>
    <row r="271">
      <c r="A271" s="1"/>
      <c r="B271" s="1"/>
      <c r="C271" s="28"/>
    </row>
    <row r="272">
      <c r="A272" s="1"/>
      <c r="B272" s="1"/>
      <c r="C272" s="28"/>
    </row>
    <row r="273">
      <c r="A273" s="1"/>
      <c r="B273" s="1"/>
      <c r="C273" s="28"/>
    </row>
    <row r="274">
      <c r="A274" s="1"/>
      <c r="B274" s="1"/>
      <c r="C274" s="28"/>
    </row>
    <row r="275">
      <c r="A275" s="1"/>
      <c r="B275" s="1"/>
      <c r="C275" s="28"/>
    </row>
    <row r="276">
      <c r="A276" s="1"/>
      <c r="B276" s="1"/>
      <c r="C276" s="28"/>
    </row>
    <row r="277">
      <c r="A277" s="1"/>
      <c r="B277" s="1"/>
      <c r="C277" s="28"/>
    </row>
    <row r="278">
      <c r="A278" s="1"/>
      <c r="B278" s="1"/>
      <c r="C278" s="28"/>
    </row>
    <row r="279">
      <c r="A279" s="1"/>
      <c r="B279" s="1"/>
      <c r="C279" s="28"/>
    </row>
    <row r="280">
      <c r="A280" s="1"/>
      <c r="B280" s="1"/>
      <c r="C280" s="28"/>
    </row>
    <row r="281">
      <c r="A281" s="1"/>
      <c r="B281" s="1"/>
      <c r="C281" s="28"/>
    </row>
    <row r="282">
      <c r="A282" s="1"/>
      <c r="B282" s="1"/>
      <c r="C282" s="28"/>
    </row>
    <row r="283">
      <c r="A283" s="1"/>
      <c r="B283" s="1"/>
      <c r="C283" s="28"/>
    </row>
    <row r="284">
      <c r="A284" s="1"/>
      <c r="B284" s="1"/>
      <c r="C284" s="28"/>
    </row>
    <row r="285">
      <c r="A285" s="1"/>
      <c r="B285" s="1"/>
      <c r="C285" s="28"/>
    </row>
    <row r="286">
      <c r="A286" s="1"/>
      <c r="B286" s="1"/>
      <c r="C286" s="28"/>
    </row>
    <row r="287">
      <c r="A287" s="1"/>
      <c r="B287" s="1"/>
      <c r="C287" s="28"/>
    </row>
    <row r="288">
      <c r="A288" s="1"/>
      <c r="B288" s="1"/>
      <c r="C288" s="28"/>
    </row>
    <row r="289">
      <c r="A289" s="1"/>
      <c r="B289" s="1"/>
      <c r="C289" s="28"/>
    </row>
    <row r="290">
      <c r="A290" s="1"/>
      <c r="B290" s="1"/>
      <c r="C290" s="28"/>
    </row>
    <row r="291">
      <c r="A291" s="1"/>
      <c r="B291" s="1"/>
      <c r="C291" s="28"/>
    </row>
    <row r="292">
      <c r="A292" s="1"/>
      <c r="B292" s="1"/>
      <c r="C292" s="28"/>
    </row>
    <row r="293">
      <c r="A293" s="1"/>
      <c r="B293" s="1"/>
      <c r="C293" s="28"/>
    </row>
    <row r="294">
      <c r="A294" s="1"/>
      <c r="B294" s="1"/>
      <c r="C294" s="28"/>
    </row>
    <row r="295">
      <c r="A295" s="1"/>
      <c r="B295" s="1"/>
      <c r="C295" s="28"/>
    </row>
    <row r="296">
      <c r="A296" s="1"/>
      <c r="B296" s="1"/>
      <c r="C296" s="28"/>
    </row>
    <row r="297">
      <c r="A297" s="1"/>
      <c r="B297" s="1"/>
      <c r="C297" s="28"/>
    </row>
    <row r="298">
      <c r="A298" s="1"/>
      <c r="B298" s="1"/>
      <c r="C298" s="28"/>
    </row>
    <row r="299">
      <c r="A299" s="1"/>
      <c r="B299" s="1"/>
      <c r="C299" s="28"/>
    </row>
    <row r="300">
      <c r="A300" s="1"/>
      <c r="B300" s="1"/>
      <c r="C300" s="28"/>
    </row>
    <row r="301">
      <c r="A301" s="1"/>
      <c r="B301" s="1"/>
      <c r="C301" s="28"/>
    </row>
    <row r="302">
      <c r="A302" s="1"/>
      <c r="B302" s="1"/>
      <c r="C302" s="28"/>
    </row>
    <row r="303">
      <c r="A303" s="1"/>
      <c r="B303" s="1"/>
      <c r="C303" s="28"/>
    </row>
    <row r="304">
      <c r="A304" s="1"/>
      <c r="B304" s="1"/>
      <c r="C304" s="28"/>
    </row>
    <row r="305">
      <c r="A305" s="1"/>
      <c r="B305" s="1"/>
      <c r="C305" s="28"/>
    </row>
    <row r="306">
      <c r="A306" s="1"/>
      <c r="B306" s="1"/>
      <c r="C306" s="28"/>
    </row>
    <row r="307">
      <c r="A307" s="1"/>
      <c r="B307" s="1"/>
      <c r="C307" s="28"/>
    </row>
    <row r="308">
      <c r="A308" s="1"/>
      <c r="B308" s="1"/>
      <c r="C308" s="28"/>
    </row>
    <row r="309">
      <c r="A309" s="1"/>
      <c r="B309" s="1"/>
      <c r="C309" s="28"/>
    </row>
    <row r="310">
      <c r="A310" s="1"/>
      <c r="B310" s="1"/>
      <c r="C310" s="28"/>
    </row>
    <row r="311">
      <c r="A311" s="1"/>
      <c r="B311" s="1"/>
      <c r="C311" s="28"/>
    </row>
    <row r="312">
      <c r="A312" s="1"/>
      <c r="B312" s="1"/>
      <c r="C312" s="28"/>
    </row>
    <row r="313">
      <c r="A313" s="1"/>
      <c r="B313" s="1"/>
      <c r="C313" s="28"/>
    </row>
    <row r="314">
      <c r="A314" s="1"/>
      <c r="B314" s="1"/>
      <c r="C314" s="28"/>
    </row>
    <row r="315">
      <c r="A315" s="1"/>
      <c r="B315" s="1"/>
      <c r="C315" s="28"/>
    </row>
    <row r="316">
      <c r="A316" s="1"/>
      <c r="B316" s="1"/>
      <c r="C316" s="28"/>
    </row>
    <row r="317">
      <c r="A317" s="1"/>
      <c r="B317" s="1"/>
      <c r="C317" s="28"/>
    </row>
    <row r="318">
      <c r="A318" s="1"/>
      <c r="B318" s="1"/>
      <c r="C318" s="28"/>
    </row>
    <row r="319">
      <c r="A319" s="1"/>
      <c r="B319" s="1"/>
      <c r="C319" s="28"/>
    </row>
    <row r="320">
      <c r="A320" s="1"/>
      <c r="B320" s="1"/>
      <c r="C320" s="28"/>
    </row>
    <row r="321">
      <c r="A321" s="1"/>
      <c r="B321" s="1"/>
      <c r="C321" s="28"/>
    </row>
    <row r="322">
      <c r="A322" s="1"/>
      <c r="B322" s="1"/>
      <c r="C322" s="28"/>
    </row>
    <row r="323">
      <c r="A323" s="1"/>
      <c r="B323" s="1"/>
      <c r="C323" s="28"/>
    </row>
    <row r="324">
      <c r="A324" s="1"/>
      <c r="B324" s="1"/>
      <c r="C324" s="28"/>
    </row>
    <row r="325">
      <c r="A325" s="1"/>
      <c r="B325" s="1"/>
      <c r="C325" s="28"/>
    </row>
    <row r="326">
      <c r="A326" s="1"/>
      <c r="B326" s="1"/>
      <c r="C326" s="28"/>
    </row>
    <row r="327">
      <c r="A327" s="1"/>
      <c r="B327" s="1"/>
      <c r="C327" s="28"/>
    </row>
    <row r="328">
      <c r="A328" s="1"/>
      <c r="B328" s="1"/>
      <c r="C328" s="28"/>
    </row>
    <row r="329">
      <c r="A329" s="1"/>
      <c r="B329" s="1"/>
      <c r="C329" s="28"/>
    </row>
    <row r="330">
      <c r="A330" s="1"/>
      <c r="B330" s="1"/>
      <c r="C330" s="28"/>
    </row>
    <row r="331">
      <c r="A331" s="1"/>
      <c r="B331" s="1"/>
      <c r="C331" s="28"/>
    </row>
    <row r="332">
      <c r="A332" s="1"/>
      <c r="B332" s="1"/>
      <c r="C332" s="28"/>
    </row>
    <row r="333">
      <c r="A333" s="1"/>
      <c r="B333" s="1"/>
      <c r="C333" s="28"/>
    </row>
    <row r="334">
      <c r="A334" s="1"/>
      <c r="B334" s="1"/>
      <c r="C334" s="28"/>
    </row>
    <row r="335">
      <c r="A335" s="1"/>
      <c r="B335" s="1"/>
      <c r="C335" s="28"/>
    </row>
    <row r="336">
      <c r="A336" s="1"/>
      <c r="B336" s="1"/>
      <c r="C336" s="28"/>
    </row>
    <row r="337">
      <c r="A337" s="1"/>
      <c r="B337" s="1"/>
      <c r="C337" s="28"/>
    </row>
    <row r="338">
      <c r="A338" s="1"/>
      <c r="B338" s="1"/>
      <c r="C338" s="28"/>
    </row>
    <row r="339">
      <c r="A339" s="1"/>
      <c r="B339" s="1"/>
      <c r="C339" s="28"/>
    </row>
    <row r="340">
      <c r="A340" s="1"/>
      <c r="B340" s="1"/>
      <c r="C340" s="28"/>
    </row>
    <row r="341">
      <c r="A341" s="1"/>
      <c r="B341" s="1"/>
      <c r="C341" s="28"/>
    </row>
    <row r="342">
      <c r="A342" s="1"/>
      <c r="B342" s="1"/>
      <c r="C342" s="28"/>
    </row>
    <row r="343">
      <c r="A343" s="1"/>
      <c r="B343" s="1"/>
      <c r="C343" s="28"/>
    </row>
    <row r="344">
      <c r="A344" s="1"/>
      <c r="B344" s="1"/>
      <c r="C344" s="28"/>
    </row>
    <row r="345">
      <c r="A345" s="1"/>
      <c r="B345" s="1"/>
      <c r="C345" s="28"/>
    </row>
    <row r="346">
      <c r="A346" s="1"/>
      <c r="B346" s="1"/>
      <c r="C346" s="28"/>
    </row>
    <row r="347">
      <c r="A347" s="1"/>
      <c r="B347" s="1"/>
      <c r="C347" s="28"/>
    </row>
    <row r="348">
      <c r="A348" s="1"/>
      <c r="B348" s="1"/>
      <c r="C348" s="28"/>
    </row>
    <row r="349">
      <c r="A349" s="1"/>
      <c r="B349" s="1"/>
      <c r="C349" s="28"/>
    </row>
    <row r="350">
      <c r="A350" s="1"/>
      <c r="B350" s="1"/>
      <c r="C350" s="28"/>
    </row>
    <row r="351">
      <c r="A351" s="1"/>
      <c r="B351" s="1"/>
      <c r="C351" s="28"/>
    </row>
    <row r="352">
      <c r="A352" s="1"/>
      <c r="B352" s="1"/>
      <c r="C352" s="28"/>
    </row>
    <row r="353">
      <c r="A353" s="1"/>
      <c r="B353" s="1"/>
      <c r="C353" s="28"/>
    </row>
    <row r="354">
      <c r="A354" s="1"/>
      <c r="B354" s="1"/>
      <c r="C354" s="28"/>
    </row>
    <row r="355">
      <c r="A355" s="1"/>
      <c r="B355" s="1"/>
      <c r="C355" s="28"/>
    </row>
    <row r="356">
      <c r="A356" s="1"/>
      <c r="B356" s="1"/>
      <c r="C356" s="28"/>
    </row>
    <row r="357">
      <c r="A357" s="1"/>
      <c r="B357" s="1"/>
      <c r="C357" s="28"/>
    </row>
    <row r="358">
      <c r="A358" s="1"/>
      <c r="B358" s="1"/>
      <c r="C358" s="28"/>
    </row>
    <row r="359">
      <c r="A359" s="1"/>
      <c r="B359" s="1"/>
      <c r="C359" s="28"/>
    </row>
    <row r="360">
      <c r="A360" s="1"/>
      <c r="B360" s="1"/>
      <c r="C360" s="28"/>
    </row>
    <row r="361">
      <c r="A361" s="1"/>
      <c r="B361" s="1"/>
      <c r="C361" s="28"/>
    </row>
    <row r="362">
      <c r="A362" s="1"/>
      <c r="B362" s="1"/>
      <c r="C362" s="28"/>
    </row>
    <row r="363">
      <c r="A363" s="1"/>
      <c r="B363" s="1"/>
      <c r="C363" s="28"/>
    </row>
    <row r="364">
      <c r="A364" s="1"/>
      <c r="B364" s="1"/>
      <c r="C364" s="28"/>
    </row>
    <row r="365">
      <c r="A365" s="1"/>
      <c r="B365" s="1"/>
      <c r="C365" s="28"/>
    </row>
    <row r="366">
      <c r="A366" s="1"/>
      <c r="B366" s="1"/>
      <c r="C366" s="28"/>
    </row>
    <row r="367">
      <c r="A367" s="1"/>
      <c r="B367" s="1"/>
      <c r="C367" s="28"/>
    </row>
    <row r="368">
      <c r="A368" s="1"/>
      <c r="B368" s="1"/>
      <c r="C368" s="28"/>
    </row>
    <row r="369">
      <c r="A369" s="1"/>
      <c r="B369" s="1"/>
      <c r="C369" s="28"/>
    </row>
    <row r="370">
      <c r="A370" s="1"/>
      <c r="B370" s="1"/>
      <c r="C370" s="28"/>
    </row>
    <row r="371">
      <c r="A371" s="1"/>
      <c r="B371" s="1"/>
      <c r="C371" s="28"/>
    </row>
    <row r="372">
      <c r="A372" s="1"/>
      <c r="B372" s="1"/>
      <c r="C372" s="28"/>
    </row>
    <row r="373">
      <c r="A373" s="1"/>
      <c r="B373" s="1"/>
      <c r="C373" s="28"/>
    </row>
    <row r="374">
      <c r="A374" s="1"/>
      <c r="B374" s="1"/>
      <c r="C374" s="28"/>
    </row>
    <row r="375">
      <c r="A375" s="1"/>
      <c r="B375" s="1"/>
      <c r="C375" s="28"/>
    </row>
    <row r="376">
      <c r="A376" s="1"/>
      <c r="B376" s="1"/>
      <c r="C376" s="28"/>
    </row>
    <row r="377">
      <c r="A377" s="1"/>
      <c r="B377" s="1"/>
      <c r="C377" s="28"/>
    </row>
    <row r="378">
      <c r="A378" s="1"/>
      <c r="B378" s="1"/>
      <c r="C378" s="28"/>
    </row>
    <row r="379">
      <c r="A379" s="1"/>
      <c r="B379" s="1"/>
      <c r="C379" s="28"/>
    </row>
    <row r="380">
      <c r="A380" s="1"/>
      <c r="B380" s="1"/>
      <c r="C380" s="28"/>
    </row>
    <row r="381">
      <c r="A381" s="1"/>
      <c r="B381" s="1"/>
      <c r="C381" s="28"/>
    </row>
    <row r="382">
      <c r="A382" s="1"/>
      <c r="B382" s="1"/>
      <c r="C382" s="28"/>
    </row>
    <row r="383">
      <c r="A383" s="1"/>
      <c r="B383" s="1"/>
      <c r="C383" s="28"/>
    </row>
    <row r="384">
      <c r="A384" s="1"/>
      <c r="B384" s="1"/>
      <c r="C384" s="28"/>
    </row>
    <row r="385">
      <c r="A385" s="1"/>
      <c r="B385" s="1"/>
      <c r="C385" s="28"/>
    </row>
    <row r="386">
      <c r="A386" s="1"/>
      <c r="B386" s="1"/>
      <c r="C386" s="28"/>
    </row>
    <row r="387">
      <c r="A387" s="1"/>
      <c r="B387" s="1"/>
      <c r="C387" s="28"/>
    </row>
    <row r="388">
      <c r="A388" s="1"/>
      <c r="B388" s="1"/>
      <c r="C388" s="28"/>
    </row>
    <row r="389">
      <c r="A389" s="1"/>
      <c r="B389" s="1"/>
      <c r="C389" s="28"/>
    </row>
    <row r="390">
      <c r="A390" s="1"/>
      <c r="B390" s="1"/>
      <c r="C390" s="28"/>
    </row>
    <row r="391">
      <c r="A391" s="1"/>
      <c r="B391" s="1"/>
      <c r="C391" s="28"/>
    </row>
    <row r="392">
      <c r="A392" s="1"/>
      <c r="B392" s="1"/>
      <c r="C392" s="28"/>
    </row>
    <row r="393">
      <c r="A393" s="1"/>
      <c r="B393" s="1"/>
      <c r="C393" s="28"/>
    </row>
    <row r="394">
      <c r="A394" s="1"/>
      <c r="B394" s="1"/>
      <c r="C394" s="28"/>
    </row>
    <row r="395">
      <c r="A395" s="1"/>
      <c r="B395" s="1"/>
      <c r="C395" s="28"/>
    </row>
    <row r="396">
      <c r="A396" s="1"/>
      <c r="B396" s="1"/>
      <c r="C396" s="28"/>
    </row>
    <row r="397">
      <c r="A397" s="1"/>
      <c r="B397" s="1"/>
      <c r="C397" s="28"/>
    </row>
    <row r="398">
      <c r="A398" s="1"/>
      <c r="B398" s="1"/>
      <c r="C398" s="28"/>
    </row>
    <row r="399">
      <c r="A399" s="1"/>
      <c r="B399" s="1"/>
      <c r="C399" s="28"/>
    </row>
    <row r="400">
      <c r="A400" s="1"/>
      <c r="B400" s="1"/>
      <c r="C400" s="28"/>
    </row>
    <row r="401">
      <c r="A401" s="1"/>
      <c r="B401" s="1"/>
      <c r="C401" s="28"/>
    </row>
    <row r="402">
      <c r="A402" s="1"/>
      <c r="B402" s="1"/>
      <c r="C402" s="28"/>
    </row>
    <row r="403">
      <c r="A403" s="1"/>
      <c r="B403" s="1"/>
      <c r="C403" s="28"/>
    </row>
    <row r="404">
      <c r="A404" s="1"/>
      <c r="B404" s="1"/>
      <c r="C404" s="28"/>
    </row>
    <row r="405">
      <c r="A405" s="1"/>
      <c r="B405" s="1"/>
      <c r="C405" s="28"/>
    </row>
    <row r="406">
      <c r="A406" s="1"/>
      <c r="B406" s="1"/>
      <c r="C406" s="28"/>
    </row>
    <row r="407">
      <c r="A407" s="1"/>
      <c r="B407" s="1"/>
      <c r="C407" s="28"/>
    </row>
    <row r="408">
      <c r="A408" s="1"/>
      <c r="B408" s="1"/>
      <c r="C408" s="28"/>
    </row>
    <row r="409">
      <c r="A409" s="1"/>
      <c r="B409" s="1"/>
      <c r="C409" s="28"/>
    </row>
    <row r="410">
      <c r="A410" s="1"/>
      <c r="B410" s="1"/>
      <c r="C410" s="28"/>
    </row>
    <row r="411">
      <c r="A411" s="1"/>
      <c r="B411" s="1"/>
      <c r="C411" s="28"/>
    </row>
    <row r="412">
      <c r="A412" s="1"/>
      <c r="B412" s="1"/>
      <c r="C412" s="28"/>
    </row>
    <row r="413">
      <c r="A413" s="1"/>
      <c r="B413" s="1"/>
      <c r="C413" s="28"/>
    </row>
    <row r="414">
      <c r="A414" s="1"/>
      <c r="B414" s="1"/>
      <c r="C414" s="28"/>
    </row>
    <row r="415">
      <c r="A415" s="1"/>
      <c r="B415" s="1"/>
      <c r="C415" s="28"/>
    </row>
    <row r="416">
      <c r="A416" s="1"/>
      <c r="B416" s="1"/>
      <c r="C416" s="28"/>
    </row>
    <row r="417">
      <c r="A417" s="1"/>
      <c r="B417" s="1"/>
      <c r="C417" s="28"/>
    </row>
    <row r="418">
      <c r="A418" s="1"/>
      <c r="B418" s="1"/>
      <c r="C418" s="28"/>
    </row>
    <row r="419">
      <c r="A419" s="1"/>
      <c r="B419" s="1"/>
      <c r="C419" s="28"/>
    </row>
    <row r="420">
      <c r="A420" s="1"/>
      <c r="B420" s="1"/>
      <c r="C420" s="28"/>
    </row>
    <row r="421">
      <c r="A421" s="1"/>
      <c r="B421" s="1"/>
      <c r="C421" s="28"/>
    </row>
    <row r="422">
      <c r="A422" s="1"/>
      <c r="B422" s="1"/>
      <c r="C422" s="28"/>
    </row>
    <row r="423">
      <c r="A423" s="1"/>
      <c r="B423" s="1"/>
      <c r="C423" s="28"/>
    </row>
    <row r="424">
      <c r="A424" s="1"/>
      <c r="B424" s="1"/>
      <c r="C424" s="28"/>
    </row>
    <row r="425">
      <c r="A425" s="1"/>
      <c r="B425" s="1"/>
      <c r="C425" s="28"/>
    </row>
    <row r="426">
      <c r="A426" s="1"/>
      <c r="B426" s="1"/>
      <c r="C426" s="28"/>
    </row>
    <row r="427">
      <c r="A427" s="1"/>
      <c r="B427" s="1"/>
      <c r="C427" s="28"/>
    </row>
    <row r="428">
      <c r="A428" s="1"/>
      <c r="B428" s="1"/>
      <c r="C428" s="28"/>
    </row>
    <row r="429">
      <c r="A429" s="1"/>
      <c r="B429" s="1"/>
      <c r="C429" s="28"/>
    </row>
    <row r="430">
      <c r="A430" s="1"/>
      <c r="B430" s="1"/>
      <c r="C430" s="28"/>
    </row>
    <row r="431">
      <c r="A431" s="1"/>
      <c r="B431" s="1"/>
      <c r="C431" s="28"/>
    </row>
    <row r="432">
      <c r="A432" s="1"/>
      <c r="B432" s="1"/>
      <c r="C432" s="28"/>
    </row>
    <row r="433">
      <c r="A433" s="1"/>
      <c r="B433" s="1"/>
      <c r="C433" s="28"/>
    </row>
    <row r="434">
      <c r="A434" s="1"/>
      <c r="B434" s="1"/>
      <c r="C434" s="28"/>
    </row>
    <row r="435">
      <c r="A435" s="1"/>
      <c r="B435" s="1"/>
      <c r="C435" s="28"/>
    </row>
    <row r="436">
      <c r="A436" s="1"/>
      <c r="B436" s="1"/>
      <c r="C436" s="28"/>
    </row>
    <row r="437">
      <c r="A437" s="1"/>
      <c r="B437" s="1"/>
      <c r="C437" s="28"/>
    </row>
    <row r="438">
      <c r="A438" s="1"/>
      <c r="B438" s="1"/>
      <c r="C438" s="28"/>
    </row>
    <row r="439">
      <c r="A439" s="1"/>
      <c r="B439" s="1"/>
      <c r="C439" s="28"/>
    </row>
    <row r="440">
      <c r="A440" s="1"/>
      <c r="B440" s="1"/>
      <c r="C440" s="28"/>
    </row>
    <row r="441">
      <c r="A441" s="1"/>
      <c r="B441" s="1"/>
      <c r="C441" s="28"/>
    </row>
    <row r="442">
      <c r="A442" s="1"/>
      <c r="B442" s="1"/>
      <c r="C442" s="28"/>
    </row>
    <row r="443">
      <c r="A443" s="1"/>
      <c r="B443" s="1"/>
      <c r="C443" s="28"/>
    </row>
    <row r="444">
      <c r="A444" s="1"/>
      <c r="B444" s="1"/>
      <c r="C444" s="28"/>
    </row>
    <row r="445">
      <c r="A445" s="1"/>
      <c r="B445" s="1"/>
      <c r="C445" s="28"/>
    </row>
    <row r="446">
      <c r="A446" s="1"/>
      <c r="B446" s="1"/>
      <c r="C446" s="28"/>
    </row>
    <row r="447">
      <c r="A447" s="1"/>
      <c r="B447" s="1"/>
      <c r="C447" s="28"/>
    </row>
    <row r="448">
      <c r="A448" s="1"/>
      <c r="B448" s="1"/>
      <c r="C448" s="28"/>
    </row>
    <row r="449">
      <c r="A449" s="1"/>
      <c r="B449" s="1"/>
      <c r="C449" s="28"/>
    </row>
    <row r="450">
      <c r="A450" s="1"/>
      <c r="B450" s="1"/>
      <c r="C450" s="28"/>
    </row>
    <row r="451">
      <c r="A451" s="1"/>
      <c r="B451" s="1"/>
      <c r="C451" s="28"/>
    </row>
    <row r="452">
      <c r="A452" s="1"/>
      <c r="B452" s="1"/>
      <c r="C452" s="28"/>
    </row>
    <row r="453">
      <c r="A453" s="1"/>
      <c r="B453" s="1"/>
      <c r="C453" s="28"/>
    </row>
    <row r="454">
      <c r="A454" s="1"/>
      <c r="B454" s="1"/>
      <c r="C454" s="28"/>
    </row>
    <row r="455">
      <c r="A455" s="1"/>
      <c r="B455" s="1"/>
      <c r="C455" s="28"/>
    </row>
    <row r="456">
      <c r="A456" s="1"/>
      <c r="B456" s="1"/>
      <c r="C456" s="28"/>
    </row>
    <row r="457">
      <c r="A457" s="1"/>
      <c r="B457" s="1"/>
      <c r="C457" s="28"/>
    </row>
    <row r="458">
      <c r="A458" s="1"/>
      <c r="B458" s="1"/>
      <c r="C458" s="28"/>
    </row>
    <row r="459">
      <c r="A459" s="1"/>
      <c r="B459" s="1"/>
      <c r="C459" s="28"/>
    </row>
    <row r="460">
      <c r="A460" s="1"/>
      <c r="B460" s="1"/>
      <c r="C460" s="28"/>
    </row>
    <row r="461">
      <c r="A461" s="1"/>
      <c r="B461" s="1"/>
      <c r="C461" s="28"/>
    </row>
    <row r="462">
      <c r="A462" s="1"/>
      <c r="B462" s="1"/>
      <c r="C462" s="28"/>
    </row>
    <row r="463">
      <c r="A463" s="1"/>
      <c r="B463" s="1"/>
      <c r="C463" s="28"/>
    </row>
    <row r="464">
      <c r="A464" s="1"/>
      <c r="B464" s="1"/>
      <c r="C464" s="28"/>
    </row>
    <row r="465">
      <c r="A465" s="1"/>
      <c r="B465" s="1"/>
      <c r="C465" s="28"/>
    </row>
    <row r="466">
      <c r="A466" s="1"/>
      <c r="B466" s="1"/>
      <c r="C466" s="28"/>
    </row>
    <row r="467">
      <c r="A467" s="1"/>
      <c r="B467" s="1"/>
      <c r="C467" s="28"/>
    </row>
    <row r="468">
      <c r="A468" s="1"/>
      <c r="B468" s="1"/>
      <c r="C468" s="28"/>
    </row>
    <row r="469">
      <c r="A469" s="1"/>
      <c r="B469" s="1"/>
      <c r="C469" s="28"/>
    </row>
    <row r="470">
      <c r="A470" s="1"/>
      <c r="B470" s="1"/>
      <c r="C470" s="28"/>
    </row>
    <row r="471">
      <c r="A471" s="1"/>
      <c r="B471" s="1"/>
      <c r="C471" s="28"/>
    </row>
    <row r="472">
      <c r="A472" s="1"/>
      <c r="B472" s="1"/>
      <c r="C472" s="28"/>
    </row>
    <row r="473">
      <c r="A473" s="1"/>
      <c r="B473" s="1"/>
      <c r="C473" s="28"/>
    </row>
    <row r="474">
      <c r="A474" s="1"/>
      <c r="B474" s="1"/>
      <c r="C474" s="28"/>
    </row>
    <row r="475">
      <c r="A475" s="1"/>
      <c r="B475" s="1"/>
      <c r="C475" s="28"/>
    </row>
    <row r="476">
      <c r="A476" s="1"/>
      <c r="B476" s="1"/>
      <c r="C476" s="28"/>
    </row>
    <row r="477">
      <c r="A477" s="1"/>
      <c r="B477" s="1"/>
      <c r="C477" s="28"/>
    </row>
    <row r="478">
      <c r="A478" s="1"/>
      <c r="B478" s="1"/>
      <c r="C478" s="28"/>
    </row>
    <row r="479">
      <c r="A479" s="1"/>
      <c r="B479" s="1"/>
      <c r="C479" s="28"/>
    </row>
    <row r="480">
      <c r="A480" s="1"/>
      <c r="B480" s="1"/>
      <c r="C480" s="28"/>
    </row>
    <row r="481">
      <c r="A481" s="1"/>
      <c r="B481" s="1"/>
      <c r="C481" s="28"/>
    </row>
    <row r="482">
      <c r="A482" s="1"/>
      <c r="B482" s="1"/>
      <c r="C482" s="28"/>
    </row>
    <row r="483">
      <c r="A483" s="1"/>
      <c r="B483" s="1"/>
      <c r="C483" s="28"/>
    </row>
    <row r="484">
      <c r="A484" s="1"/>
      <c r="B484" s="1"/>
      <c r="C484" s="28"/>
    </row>
    <row r="485">
      <c r="A485" s="1"/>
      <c r="B485" s="1"/>
      <c r="C485" s="28"/>
    </row>
    <row r="486">
      <c r="A486" s="1"/>
      <c r="B486" s="1"/>
      <c r="C486" s="28"/>
    </row>
    <row r="487">
      <c r="A487" s="1"/>
      <c r="B487" s="1"/>
      <c r="C487" s="28"/>
    </row>
    <row r="488">
      <c r="A488" s="1"/>
      <c r="B488" s="1"/>
      <c r="C488" s="28"/>
    </row>
    <row r="489">
      <c r="A489" s="1"/>
      <c r="B489" s="1"/>
      <c r="C489" s="28"/>
    </row>
    <row r="490">
      <c r="A490" s="1"/>
      <c r="B490" s="1"/>
      <c r="C490" s="28"/>
    </row>
    <row r="491">
      <c r="A491" s="1"/>
      <c r="B491" s="1"/>
      <c r="C491" s="28"/>
    </row>
    <row r="492">
      <c r="A492" s="1"/>
      <c r="B492" s="1"/>
      <c r="C492" s="28"/>
    </row>
    <row r="493">
      <c r="A493" s="1"/>
      <c r="B493" s="1"/>
      <c r="C493" s="28"/>
    </row>
    <row r="494">
      <c r="A494" s="1"/>
      <c r="B494" s="1"/>
      <c r="C494" s="28"/>
    </row>
    <row r="495">
      <c r="A495" s="1"/>
      <c r="B495" s="1"/>
      <c r="C495" s="28"/>
    </row>
    <row r="496">
      <c r="A496" s="1"/>
      <c r="B496" s="1"/>
      <c r="C496" s="28"/>
    </row>
    <row r="497">
      <c r="A497" s="1"/>
      <c r="B497" s="1"/>
      <c r="C497" s="28"/>
    </row>
    <row r="498">
      <c r="A498" s="1"/>
      <c r="B498" s="1"/>
      <c r="C498" s="28"/>
    </row>
    <row r="499">
      <c r="A499" s="1"/>
      <c r="B499" s="1"/>
      <c r="C499" s="28"/>
    </row>
    <row r="500">
      <c r="A500" s="1"/>
      <c r="B500" s="1"/>
      <c r="C500" s="28"/>
    </row>
    <row r="501">
      <c r="A501" s="1"/>
      <c r="B501" s="1"/>
      <c r="C501" s="28"/>
    </row>
    <row r="502">
      <c r="A502" s="1"/>
      <c r="B502" s="1"/>
      <c r="C502" s="28"/>
    </row>
    <row r="503">
      <c r="A503" s="1"/>
      <c r="B503" s="1"/>
      <c r="C503" s="28"/>
    </row>
    <row r="504">
      <c r="A504" s="1"/>
      <c r="B504" s="1"/>
      <c r="C504" s="28"/>
    </row>
    <row r="505">
      <c r="A505" s="1"/>
      <c r="B505" s="1"/>
      <c r="C505" s="28"/>
    </row>
    <row r="506">
      <c r="A506" s="1"/>
      <c r="B506" s="1"/>
      <c r="C506" s="28"/>
    </row>
    <row r="507">
      <c r="A507" s="1"/>
      <c r="B507" s="1"/>
      <c r="C507" s="28"/>
    </row>
    <row r="508">
      <c r="A508" s="1"/>
      <c r="B508" s="1"/>
      <c r="C508" s="28"/>
    </row>
    <row r="509">
      <c r="A509" s="1"/>
      <c r="B509" s="1"/>
      <c r="C509" s="28"/>
    </row>
    <row r="510">
      <c r="A510" s="1"/>
      <c r="B510" s="1"/>
      <c r="C510" s="28"/>
    </row>
    <row r="511">
      <c r="A511" s="1"/>
      <c r="B511" s="1"/>
      <c r="C511" s="28"/>
    </row>
    <row r="512">
      <c r="A512" s="1"/>
      <c r="B512" s="1"/>
      <c r="C512" s="28"/>
    </row>
    <row r="513">
      <c r="A513" s="1"/>
      <c r="B513" s="1"/>
      <c r="C513" s="28"/>
    </row>
    <row r="514">
      <c r="A514" s="1"/>
      <c r="B514" s="1"/>
      <c r="C514" s="28"/>
    </row>
    <row r="515">
      <c r="A515" s="1"/>
      <c r="B515" s="1"/>
      <c r="C515" s="28"/>
    </row>
    <row r="516">
      <c r="A516" s="1"/>
      <c r="B516" s="1"/>
      <c r="C516" s="28"/>
    </row>
    <row r="517">
      <c r="A517" s="1"/>
      <c r="B517" s="1"/>
      <c r="C517" s="28"/>
    </row>
    <row r="518">
      <c r="A518" s="1"/>
      <c r="B518" s="1"/>
      <c r="C518" s="28"/>
    </row>
    <row r="519">
      <c r="A519" s="1"/>
      <c r="B519" s="1"/>
      <c r="C519" s="28"/>
    </row>
    <row r="520">
      <c r="A520" s="1"/>
      <c r="B520" s="1"/>
      <c r="C520" s="28"/>
    </row>
    <row r="521">
      <c r="A521" s="1"/>
      <c r="B521" s="1"/>
      <c r="C521" s="28"/>
    </row>
    <row r="522">
      <c r="A522" s="1"/>
      <c r="B522" s="1"/>
      <c r="C522" s="28"/>
    </row>
    <row r="523">
      <c r="A523" s="1"/>
      <c r="B523" s="1"/>
      <c r="C523" s="28"/>
    </row>
    <row r="524">
      <c r="A524" s="1"/>
      <c r="B524" s="1"/>
      <c r="C524" s="28"/>
    </row>
    <row r="525">
      <c r="A525" s="1"/>
      <c r="B525" s="1"/>
      <c r="C525" s="28"/>
    </row>
    <row r="526">
      <c r="A526" s="1"/>
      <c r="B526" s="1"/>
      <c r="C526" s="28"/>
    </row>
    <row r="527">
      <c r="A527" s="1"/>
      <c r="B527" s="1"/>
      <c r="C527" s="28"/>
    </row>
    <row r="528">
      <c r="A528" s="1"/>
      <c r="B528" s="1"/>
      <c r="C528" s="28"/>
    </row>
    <row r="529">
      <c r="A529" s="1"/>
      <c r="B529" s="1"/>
      <c r="C529" s="28"/>
    </row>
    <row r="530">
      <c r="A530" s="1"/>
      <c r="B530" s="1"/>
      <c r="C530" s="28"/>
    </row>
    <row r="531">
      <c r="A531" s="1"/>
      <c r="B531" s="1"/>
      <c r="C531" s="28"/>
    </row>
    <row r="532">
      <c r="A532" s="1"/>
      <c r="B532" s="1"/>
      <c r="C532" s="28"/>
    </row>
    <row r="533">
      <c r="A533" s="1"/>
      <c r="B533" s="1"/>
      <c r="C533" s="28"/>
    </row>
    <row r="534">
      <c r="A534" s="1"/>
      <c r="B534" s="1"/>
      <c r="C534" s="28"/>
    </row>
    <row r="535">
      <c r="A535" s="1"/>
      <c r="B535" s="1"/>
      <c r="C535" s="28"/>
    </row>
    <row r="536">
      <c r="A536" s="1"/>
      <c r="B536" s="1"/>
      <c r="C536" s="28"/>
    </row>
    <row r="537">
      <c r="A537" s="1"/>
      <c r="B537" s="1"/>
      <c r="C537" s="28"/>
    </row>
    <row r="538">
      <c r="A538" s="1"/>
      <c r="B538" s="1"/>
      <c r="C538" s="28"/>
    </row>
    <row r="539">
      <c r="A539" s="1"/>
      <c r="B539" s="1"/>
      <c r="C539" s="28"/>
    </row>
    <row r="540">
      <c r="A540" s="1"/>
      <c r="B540" s="1"/>
      <c r="C540" s="28"/>
    </row>
    <row r="541">
      <c r="A541" s="1"/>
      <c r="B541" s="1"/>
      <c r="C541" s="28"/>
    </row>
    <row r="542">
      <c r="A542" s="1"/>
      <c r="B542" s="1"/>
      <c r="C542" s="28"/>
    </row>
    <row r="543">
      <c r="A543" s="1"/>
      <c r="B543" s="1"/>
      <c r="C543" s="28"/>
    </row>
    <row r="544">
      <c r="A544" s="1"/>
      <c r="B544" s="1"/>
      <c r="C544" s="28"/>
    </row>
    <row r="545">
      <c r="A545" s="1"/>
      <c r="B545" s="1"/>
      <c r="C545" s="28"/>
    </row>
    <row r="546">
      <c r="A546" s="1"/>
      <c r="B546" s="1"/>
      <c r="C546" s="28"/>
    </row>
    <row r="547">
      <c r="A547" s="1"/>
      <c r="B547" s="1"/>
      <c r="C547" s="28"/>
    </row>
    <row r="548">
      <c r="A548" s="1"/>
      <c r="B548" s="1"/>
      <c r="C548" s="28"/>
    </row>
    <row r="549">
      <c r="A549" s="1"/>
      <c r="B549" s="1"/>
      <c r="C549" s="28"/>
    </row>
    <row r="550">
      <c r="A550" s="1"/>
      <c r="B550" s="1"/>
      <c r="C550" s="28"/>
    </row>
    <row r="551">
      <c r="A551" s="1"/>
      <c r="B551" s="1"/>
      <c r="C551" s="28"/>
    </row>
    <row r="552">
      <c r="A552" s="1"/>
      <c r="B552" s="1"/>
      <c r="C552" s="28"/>
    </row>
    <row r="553">
      <c r="A553" s="1"/>
      <c r="B553" s="1"/>
      <c r="C553" s="28"/>
    </row>
    <row r="554">
      <c r="A554" s="1"/>
      <c r="B554" s="1"/>
      <c r="C554" s="28"/>
    </row>
    <row r="555">
      <c r="A555" s="1"/>
      <c r="B555" s="1"/>
      <c r="C555" s="28"/>
    </row>
    <row r="556">
      <c r="A556" s="1"/>
      <c r="B556" s="1"/>
      <c r="C556" s="28"/>
    </row>
    <row r="557">
      <c r="A557" s="1"/>
      <c r="B557" s="1"/>
      <c r="C557" s="28"/>
    </row>
    <row r="558">
      <c r="A558" s="1"/>
      <c r="B558" s="1"/>
      <c r="C558" s="28"/>
    </row>
    <row r="559">
      <c r="A559" s="1"/>
      <c r="B559" s="1"/>
      <c r="C559" s="28"/>
    </row>
    <row r="560">
      <c r="A560" s="1"/>
      <c r="B560" s="1"/>
      <c r="C560" s="28"/>
    </row>
    <row r="561">
      <c r="A561" s="1"/>
      <c r="B561" s="1"/>
      <c r="C561" s="28"/>
    </row>
    <row r="562">
      <c r="A562" s="1"/>
      <c r="B562" s="1"/>
      <c r="C562" s="28"/>
    </row>
    <row r="563">
      <c r="A563" s="1"/>
      <c r="B563" s="1"/>
      <c r="C563" s="28"/>
    </row>
    <row r="564">
      <c r="A564" s="1"/>
      <c r="B564" s="1"/>
      <c r="C564" s="28"/>
    </row>
    <row r="565">
      <c r="A565" s="1"/>
      <c r="B565" s="1"/>
      <c r="C565" s="28"/>
    </row>
    <row r="566">
      <c r="A566" s="1"/>
      <c r="B566" s="1"/>
      <c r="C566" s="28"/>
    </row>
    <row r="567">
      <c r="A567" s="1"/>
      <c r="B567" s="1"/>
      <c r="C567" s="28"/>
    </row>
    <row r="568">
      <c r="A568" s="1"/>
      <c r="B568" s="1"/>
      <c r="C568" s="28"/>
    </row>
    <row r="569">
      <c r="A569" s="1"/>
      <c r="B569" s="1"/>
      <c r="C569" s="28"/>
    </row>
    <row r="570">
      <c r="A570" s="1"/>
      <c r="B570" s="1"/>
      <c r="C570" s="28"/>
    </row>
    <row r="571">
      <c r="A571" s="1"/>
      <c r="B571" s="1"/>
      <c r="C571" s="28"/>
    </row>
    <row r="572">
      <c r="A572" s="1"/>
      <c r="B572" s="1"/>
      <c r="C572" s="28"/>
    </row>
    <row r="573">
      <c r="A573" s="1"/>
      <c r="B573" s="1"/>
      <c r="C573" s="28"/>
    </row>
    <row r="574">
      <c r="A574" s="1"/>
      <c r="B574" s="1"/>
      <c r="C574" s="28"/>
    </row>
    <row r="575">
      <c r="A575" s="1"/>
      <c r="B575" s="1"/>
      <c r="C575" s="28"/>
    </row>
    <row r="576">
      <c r="A576" s="1"/>
      <c r="B576" s="1"/>
      <c r="C576" s="28"/>
    </row>
    <row r="577">
      <c r="A577" s="1"/>
      <c r="B577" s="1"/>
      <c r="C577" s="28"/>
    </row>
    <row r="578">
      <c r="A578" s="1"/>
      <c r="B578" s="1"/>
      <c r="C578" s="28"/>
    </row>
    <row r="579">
      <c r="A579" s="1"/>
      <c r="B579" s="1"/>
      <c r="C579" s="28"/>
    </row>
    <row r="580">
      <c r="A580" s="1"/>
      <c r="B580" s="1"/>
      <c r="C580" s="28"/>
    </row>
    <row r="581">
      <c r="A581" s="1"/>
      <c r="B581" s="1"/>
      <c r="C581" s="28"/>
    </row>
    <row r="582">
      <c r="A582" s="1"/>
      <c r="B582" s="1"/>
      <c r="C582" s="28"/>
    </row>
    <row r="583">
      <c r="A583" s="1"/>
      <c r="B583" s="1"/>
      <c r="C583" s="28"/>
    </row>
    <row r="584">
      <c r="A584" s="1"/>
      <c r="B584" s="1"/>
      <c r="C584" s="28"/>
    </row>
    <row r="585">
      <c r="A585" s="1"/>
      <c r="B585" s="1"/>
      <c r="C585" s="28"/>
    </row>
    <row r="586">
      <c r="A586" s="1"/>
      <c r="B586" s="1"/>
      <c r="C586" s="28"/>
    </row>
    <row r="587">
      <c r="A587" s="1"/>
      <c r="B587" s="1"/>
      <c r="C587" s="28"/>
    </row>
    <row r="588">
      <c r="A588" s="1"/>
      <c r="B588" s="1"/>
      <c r="C588" s="28"/>
    </row>
    <row r="589">
      <c r="A589" s="1"/>
      <c r="B589" s="1"/>
      <c r="C589" s="28"/>
    </row>
    <row r="590">
      <c r="A590" s="1"/>
      <c r="B590" s="1"/>
      <c r="C590" s="28"/>
    </row>
    <row r="591">
      <c r="A591" s="1"/>
      <c r="B591" s="1"/>
      <c r="C591" s="28"/>
    </row>
    <row r="592">
      <c r="A592" s="1"/>
      <c r="B592" s="1"/>
      <c r="C592" s="28"/>
    </row>
    <row r="593">
      <c r="A593" s="1"/>
      <c r="B593" s="1"/>
      <c r="C593" s="28"/>
    </row>
    <row r="594">
      <c r="A594" s="1"/>
      <c r="B594" s="1"/>
      <c r="C594" s="28"/>
    </row>
    <row r="595">
      <c r="A595" s="1"/>
      <c r="B595" s="1"/>
      <c r="C595" s="28"/>
    </row>
    <row r="596">
      <c r="A596" s="1"/>
      <c r="B596" s="1"/>
      <c r="C596" s="28"/>
    </row>
    <row r="597">
      <c r="A597" s="1"/>
      <c r="B597" s="1"/>
      <c r="C597" s="28"/>
    </row>
    <row r="598">
      <c r="A598" s="1"/>
      <c r="B598" s="1"/>
      <c r="C598" s="28"/>
    </row>
    <row r="599">
      <c r="A599" s="1"/>
      <c r="B599" s="1"/>
      <c r="C599" s="28"/>
    </row>
    <row r="600">
      <c r="A600" s="1"/>
      <c r="B600" s="1"/>
      <c r="C600" s="28"/>
    </row>
    <row r="601">
      <c r="A601" s="1"/>
      <c r="B601" s="1"/>
      <c r="C601" s="28"/>
    </row>
    <row r="602">
      <c r="A602" s="1"/>
      <c r="B602" s="1"/>
      <c r="C602" s="28"/>
    </row>
    <row r="603">
      <c r="A603" s="1"/>
      <c r="B603" s="1"/>
      <c r="C603" s="28"/>
    </row>
    <row r="604">
      <c r="A604" s="1"/>
      <c r="B604" s="1"/>
      <c r="C604" s="28"/>
    </row>
    <row r="605">
      <c r="A605" s="1"/>
      <c r="B605" s="1"/>
      <c r="C605" s="28"/>
    </row>
    <row r="606">
      <c r="A606" s="1"/>
      <c r="B606" s="1"/>
      <c r="C606" s="28"/>
    </row>
    <row r="607">
      <c r="A607" s="1"/>
      <c r="B607" s="1"/>
      <c r="C607" s="28"/>
    </row>
    <row r="608">
      <c r="A608" s="1"/>
      <c r="B608" s="1"/>
      <c r="C608" s="28"/>
    </row>
    <row r="609">
      <c r="A609" s="1"/>
      <c r="B609" s="1"/>
      <c r="C609" s="28"/>
    </row>
    <row r="610">
      <c r="A610" s="1"/>
      <c r="B610" s="1"/>
      <c r="C610" s="28"/>
    </row>
    <row r="611">
      <c r="A611" s="1"/>
      <c r="B611" s="1"/>
      <c r="C611" s="28"/>
    </row>
    <row r="612">
      <c r="A612" s="1"/>
      <c r="B612" s="1"/>
      <c r="C612" s="28"/>
    </row>
    <row r="613">
      <c r="A613" s="1"/>
      <c r="B613" s="1"/>
      <c r="C613" s="28"/>
    </row>
    <row r="614">
      <c r="A614" s="1"/>
      <c r="B614" s="1"/>
      <c r="C614" s="28"/>
    </row>
    <row r="615">
      <c r="A615" s="1"/>
      <c r="B615" s="1"/>
      <c r="C615" s="28"/>
    </row>
    <row r="616">
      <c r="A616" s="1"/>
      <c r="B616" s="1"/>
      <c r="C616" s="28"/>
    </row>
    <row r="617">
      <c r="A617" s="1"/>
      <c r="B617" s="1"/>
      <c r="C617" s="28"/>
    </row>
    <row r="618">
      <c r="A618" s="1"/>
      <c r="B618" s="1"/>
      <c r="C618" s="28"/>
    </row>
    <row r="619">
      <c r="A619" s="1"/>
      <c r="B619" s="1"/>
      <c r="C619" s="28"/>
    </row>
    <row r="620">
      <c r="A620" s="1"/>
      <c r="B620" s="1"/>
      <c r="C620" s="28"/>
    </row>
    <row r="621">
      <c r="A621" s="1"/>
      <c r="B621" s="1"/>
      <c r="C621" s="28"/>
    </row>
    <row r="622">
      <c r="A622" s="1"/>
      <c r="B622" s="1"/>
      <c r="C622" s="28"/>
    </row>
    <row r="623">
      <c r="A623" s="1"/>
      <c r="B623" s="1"/>
      <c r="C623" s="28"/>
    </row>
    <row r="624">
      <c r="A624" s="1"/>
      <c r="B624" s="1"/>
      <c r="C624" s="28"/>
    </row>
    <row r="625">
      <c r="A625" s="1"/>
      <c r="B625" s="1"/>
      <c r="C625" s="28"/>
    </row>
    <row r="626">
      <c r="A626" s="1"/>
      <c r="B626" s="1"/>
      <c r="C626" s="28"/>
    </row>
    <row r="627">
      <c r="A627" s="1"/>
      <c r="B627" s="1"/>
      <c r="C627" s="28"/>
    </row>
    <row r="628">
      <c r="A628" s="1"/>
      <c r="B628" s="1"/>
      <c r="C628" s="28"/>
    </row>
    <row r="629">
      <c r="A629" s="1"/>
      <c r="B629" s="1"/>
      <c r="C629" s="28"/>
    </row>
    <row r="630">
      <c r="A630" s="1"/>
      <c r="B630" s="1"/>
      <c r="C630" s="28"/>
    </row>
    <row r="631">
      <c r="A631" s="1"/>
      <c r="B631" s="1"/>
      <c r="C631" s="28"/>
    </row>
    <row r="632">
      <c r="A632" s="1"/>
      <c r="B632" s="1"/>
      <c r="C632" s="28"/>
    </row>
    <row r="633">
      <c r="A633" s="1"/>
      <c r="B633" s="1"/>
      <c r="C633" s="28"/>
    </row>
    <row r="634">
      <c r="A634" s="1"/>
      <c r="B634" s="1"/>
      <c r="C634" s="28"/>
    </row>
    <row r="635">
      <c r="A635" s="1"/>
      <c r="B635" s="1"/>
      <c r="C635" s="28"/>
    </row>
    <row r="636">
      <c r="A636" s="1"/>
      <c r="B636" s="1"/>
      <c r="C636" s="28"/>
    </row>
    <row r="637">
      <c r="A637" s="1"/>
      <c r="B637" s="1"/>
      <c r="C637" s="28"/>
    </row>
    <row r="638">
      <c r="A638" s="1"/>
      <c r="B638" s="1"/>
      <c r="C638" s="28"/>
    </row>
    <row r="639">
      <c r="A639" s="1"/>
      <c r="B639" s="1"/>
      <c r="C639" s="28"/>
    </row>
    <row r="640">
      <c r="A640" s="1"/>
      <c r="B640" s="1"/>
      <c r="C640" s="28"/>
    </row>
    <row r="641">
      <c r="A641" s="1"/>
      <c r="B641" s="1"/>
      <c r="C641" s="28"/>
    </row>
    <row r="642">
      <c r="A642" s="1"/>
      <c r="B642" s="1"/>
      <c r="C642" s="28"/>
    </row>
    <row r="643">
      <c r="A643" s="1"/>
      <c r="B643" s="1"/>
      <c r="C643" s="28"/>
    </row>
    <row r="644">
      <c r="A644" s="1"/>
      <c r="B644" s="1"/>
      <c r="C644" s="28"/>
    </row>
    <row r="645">
      <c r="A645" s="1"/>
      <c r="B645" s="1"/>
      <c r="C645" s="28"/>
    </row>
    <row r="646">
      <c r="A646" s="1"/>
      <c r="B646" s="1"/>
      <c r="C646" s="28"/>
    </row>
    <row r="647">
      <c r="A647" s="1"/>
      <c r="B647" s="1"/>
      <c r="C647" s="28"/>
    </row>
    <row r="648">
      <c r="A648" s="1"/>
      <c r="B648" s="1"/>
      <c r="C648" s="28"/>
    </row>
    <row r="649">
      <c r="A649" s="1"/>
      <c r="B649" s="1"/>
      <c r="C649" s="28"/>
    </row>
    <row r="650">
      <c r="A650" s="1"/>
      <c r="B650" s="1"/>
      <c r="C650" s="28"/>
    </row>
    <row r="651">
      <c r="A651" s="1"/>
      <c r="B651" s="1"/>
      <c r="C651" s="28"/>
    </row>
    <row r="652">
      <c r="A652" s="1"/>
      <c r="B652" s="1"/>
      <c r="C652" s="28"/>
    </row>
    <row r="653">
      <c r="A653" s="1"/>
      <c r="B653" s="1"/>
      <c r="C653" s="28"/>
    </row>
    <row r="654">
      <c r="A654" s="1"/>
      <c r="B654" s="1"/>
      <c r="C654" s="28"/>
    </row>
    <row r="655">
      <c r="A655" s="1"/>
      <c r="B655" s="1"/>
      <c r="C655" s="28"/>
    </row>
    <row r="656">
      <c r="A656" s="1"/>
      <c r="B656" s="1"/>
      <c r="C656" s="28"/>
    </row>
    <row r="657">
      <c r="A657" s="1"/>
      <c r="B657" s="1"/>
      <c r="C657" s="28"/>
    </row>
    <row r="658">
      <c r="A658" s="1"/>
      <c r="B658" s="1"/>
      <c r="C658" s="28"/>
    </row>
    <row r="659">
      <c r="A659" s="1"/>
      <c r="B659" s="1"/>
      <c r="C659" s="28"/>
    </row>
    <row r="660">
      <c r="A660" s="1"/>
      <c r="B660" s="1"/>
      <c r="C660" s="28"/>
    </row>
    <row r="661">
      <c r="A661" s="1"/>
      <c r="B661" s="1"/>
      <c r="C661" s="28"/>
    </row>
    <row r="662">
      <c r="A662" s="1"/>
      <c r="B662" s="1"/>
      <c r="C662" s="28"/>
    </row>
    <row r="663">
      <c r="A663" s="1"/>
      <c r="B663" s="1"/>
      <c r="C663" s="28"/>
    </row>
    <row r="664">
      <c r="A664" s="1"/>
      <c r="B664" s="1"/>
      <c r="C664" s="28"/>
    </row>
    <row r="665">
      <c r="A665" s="1"/>
      <c r="B665" s="1"/>
      <c r="C665" s="28"/>
    </row>
    <row r="666">
      <c r="A666" s="1"/>
      <c r="B666" s="1"/>
      <c r="C666" s="28"/>
    </row>
    <row r="667">
      <c r="A667" s="1"/>
      <c r="B667" s="1"/>
      <c r="C667" s="28"/>
    </row>
    <row r="668">
      <c r="A668" s="1"/>
      <c r="B668" s="1"/>
      <c r="C668" s="28"/>
    </row>
    <row r="669">
      <c r="A669" s="1"/>
      <c r="B669" s="1"/>
      <c r="C669" s="28"/>
    </row>
    <row r="670">
      <c r="A670" s="1"/>
      <c r="B670" s="1"/>
      <c r="C670" s="28"/>
    </row>
    <row r="671">
      <c r="A671" s="1"/>
      <c r="B671" s="1"/>
      <c r="C671" s="28"/>
    </row>
    <row r="672">
      <c r="A672" s="1"/>
      <c r="B672" s="1"/>
      <c r="C672" s="28"/>
    </row>
    <row r="673">
      <c r="A673" s="1"/>
      <c r="B673" s="1"/>
      <c r="C673" s="28"/>
    </row>
    <row r="674">
      <c r="A674" s="1"/>
      <c r="B674" s="1"/>
      <c r="C674" s="28"/>
    </row>
    <row r="675">
      <c r="A675" s="1"/>
      <c r="B675" s="1"/>
      <c r="C675" s="28"/>
    </row>
    <row r="676">
      <c r="A676" s="1"/>
      <c r="B676" s="1"/>
      <c r="C676" s="28"/>
    </row>
    <row r="677">
      <c r="A677" s="1"/>
      <c r="B677" s="1"/>
      <c r="C677" s="28"/>
    </row>
    <row r="678">
      <c r="A678" s="1"/>
      <c r="B678" s="1"/>
      <c r="C678" s="28"/>
    </row>
    <row r="679">
      <c r="A679" s="1"/>
      <c r="B679" s="1"/>
      <c r="C679" s="28"/>
    </row>
    <row r="680">
      <c r="A680" s="1"/>
      <c r="B680" s="1"/>
      <c r="C680" s="28"/>
    </row>
    <row r="681">
      <c r="A681" s="1"/>
      <c r="B681" s="1"/>
      <c r="C681" s="28"/>
    </row>
    <row r="682">
      <c r="A682" s="1"/>
      <c r="B682" s="1"/>
      <c r="C682" s="28"/>
    </row>
    <row r="683">
      <c r="A683" s="1"/>
      <c r="B683" s="1"/>
      <c r="C683" s="28"/>
    </row>
    <row r="684">
      <c r="A684" s="1"/>
      <c r="B684" s="1"/>
      <c r="C684" s="28"/>
    </row>
    <row r="685">
      <c r="A685" s="1"/>
      <c r="B685" s="1"/>
      <c r="C685" s="28"/>
    </row>
    <row r="686">
      <c r="A686" s="1"/>
      <c r="B686" s="1"/>
      <c r="C686" s="28"/>
    </row>
    <row r="687">
      <c r="A687" s="1"/>
      <c r="B687" s="1"/>
      <c r="C687" s="28"/>
    </row>
    <row r="688">
      <c r="A688" s="1"/>
      <c r="B688" s="1"/>
      <c r="C688" s="28"/>
    </row>
    <row r="689">
      <c r="A689" s="1"/>
      <c r="B689" s="1"/>
      <c r="C689" s="28"/>
    </row>
    <row r="690">
      <c r="A690" s="1"/>
      <c r="B690" s="1"/>
      <c r="C690" s="28"/>
    </row>
    <row r="691">
      <c r="A691" s="1"/>
      <c r="B691" s="1"/>
      <c r="C691" s="28"/>
    </row>
    <row r="692">
      <c r="A692" s="1"/>
      <c r="B692" s="1"/>
      <c r="C692" s="28"/>
    </row>
    <row r="693">
      <c r="A693" s="1"/>
      <c r="B693" s="1"/>
      <c r="C693" s="28"/>
    </row>
    <row r="694">
      <c r="A694" s="1"/>
      <c r="B694" s="1"/>
      <c r="C694" s="28"/>
    </row>
    <row r="695">
      <c r="A695" s="1"/>
      <c r="B695" s="1"/>
      <c r="C695" s="28"/>
    </row>
    <row r="696">
      <c r="A696" s="1"/>
      <c r="B696" s="1"/>
      <c r="C696" s="28"/>
    </row>
    <row r="697">
      <c r="A697" s="1"/>
      <c r="B697" s="1"/>
      <c r="C697" s="28"/>
    </row>
    <row r="698">
      <c r="A698" s="1"/>
      <c r="B698" s="1"/>
      <c r="C698" s="28"/>
    </row>
    <row r="699">
      <c r="A699" s="1"/>
      <c r="B699" s="1"/>
      <c r="C699" s="28"/>
    </row>
    <row r="700">
      <c r="A700" s="1"/>
      <c r="B700" s="1"/>
      <c r="C700" s="28"/>
    </row>
    <row r="701">
      <c r="A701" s="1"/>
      <c r="B701" s="1"/>
      <c r="C701" s="28"/>
    </row>
    <row r="702">
      <c r="A702" s="1"/>
      <c r="B702" s="1"/>
      <c r="C702" s="28"/>
    </row>
    <row r="703">
      <c r="A703" s="1"/>
      <c r="B703" s="1"/>
      <c r="C703" s="28"/>
    </row>
    <row r="704">
      <c r="A704" s="1"/>
      <c r="B704" s="1"/>
      <c r="C704" s="28"/>
    </row>
    <row r="705">
      <c r="A705" s="1"/>
      <c r="B705" s="1"/>
      <c r="C705" s="28"/>
    </row>
    <row r="706">
      <c r="A706" s="1"/>
      <c r="B706" s="1"/>
      <c r="C706" s="28"/>
    </row>
    <row r="707">
      <c r="A707" s="1"/>
      <c r="B707" s="1"/>
      <c r="C707" s="28"/>
    </row>
    <row r="708">
      <c r="A708" s="1"/>
      <c r="B708" s="1"/>
      <c r="C708" s="28"/>
    </row>
    <row r="709">
      <c r="A709" s="1"/>
      <c r="B709" s="1"/>
      <c r="C709" s="28"/>
    </row>
    <row r="710">
      <c r="A710" s="1"/>
      <c r="B710" s="1"/>
      <c r="C710" s="28"/>
    </row>
    <row r="711">
      <c r="A711" s="1"/>
      <c r="B711" s="1"/>
      <c r="C711" s="28"/>
    </row>
    <row r="712">
      <c r="A712" s="1"/>
      <c r="B712" s="1"/>
      <c r="C712" s="28"/>
    </row>
    <row r="713">
      <c r="A713" s="1"/>
      <c r="B713" s="1"/>
      <c r="C713" s="28"/>
    </row>
    <row r="714">
      <c r="A714" s="1"/>
      <c r="B714" s="1"/>
      <c r="C714" s="28"/>
    </row>
    <row r="715">
      <c r="A715" s="1"/>
      <c r="B715" s="1"/>
      <c r="C715" s="28"/>
    </row>
    <row r="716">
      <c r="A716" s="1"/>
      <c r="B716" s="1"/>
      <c r="C716" s="28"/>
    </row>
    <row r="717">
      <c r="A717" s="1"/>
      <c r="B717" s="1"/>
      <c r="C717" s="28"/>
    </row>
    <row r="718">
      <c r="A718" s="1"/>
      <c r="B718" s="1"/>
      <c r="C718" s="28"/>
    </row>
    <row r="719">
      <c r="A719" s="1"/>
      <c r="B719" s="1"/>
      <c r="C719" s="28"/>
    </row>
    <row r="720">
      <c r="A720" s="1"/>
      <c r="B720" s="1"/>
      <c r="C720" s="28"/>
    </row>
    <row r="721">
      <c r="A721" s="1"/>
      <c r="B721" s="1"/>
      <c r="C721" s="28"/>
    </row>
    <row r="722">
      <c r="A722" s="1"/>
      <c r="B722" s="1"/>
      <c r="C722" s="28"/>
    </row>
    <row r="723">
      <c r="A723" s="1"/>
      <c r="B723" s="1"/>
      <c r="C723" s="28"/>
    </row>
    <row r="724">
      <c r="A724" s="1"/>
      <c r="B724" s="1"/>
      <c r="C724" s="28"/>
    </row>
    <row r="725">
      <c r="A725" s="1"/>
      <c r="B725" s="1"/>
      <c r="C725" s="28"/>
    </row>
    <row r="726">
      <c r="A726" s="1"/>
      <c r="B726" s="1"/>
      <c r="C726" s="28"/>
    </row>
    <row r="727">
      <c r="A727" s="1"/>
      <c r="B727" s="1"/>
      <c r="C727" s="28"/>
    </row>
    <row r="728">
      <c r="A728" s="1"/>
      <c r="B728" s="1"/>
      <c r="C728" s="28"/>
    </row>
    <row r="729">
      <c r="A729" s="1"/>
      <c r="B729" s="1"/>
      <c r="C729" s="28"/>
    </row>
    <row r="730">
      <c r="A730" s="1"/>
      <c r="B730" s="1"/>
      <c r="C730" s="28"/>
    </row>
    <row r="731">
      <c r="A731" s="1"/>
      <c r="B731" s="1"/>
      <c r="C731" s="28"/>
    </row>
    <row r="732">
      <c r="A732" s="1"/>
      <c r="B732" s="1"/>
      <c r="C732" s="28"/>
    </row>
    <row r="733">
      <c r="A733" s="1"/>
      <c r="B733" s="1"/>
      <c r="C733" s="28"/>
    </row>
    <row r="734">
      <c r="A734" s="1"/>
      <c r="B734" s="1"/>
      <c r="C734" s="28"/>
    </row>
    <row r="735">
      <c r="A735" s="1"/>
      <c r="B735" s="1"/>
      <c r="C735" s="28"/>
    </row>
    <row r="736">
      <c r="A736" s="1"/>
      <c r="B736" s="1"/>
      <c r="C736" s="28"/>
    </row>
    <row r="737">
      <c r="A737" s="1"/>
      <c r="B737" s="1"/>
      <c r="C737" s="28"/>
    </row>
    <row r="738">
      <c r="A738" s="1"/>
      <c r="B738" s="1"/>
      <c r="C738" s="28"/>
    </row>
    <row r="739">
      <c r="A739" s="1"/>
      <c r="B739" s="1"/>
      <c r="C739" s="28"/>
    </row>
    <row r="740">
      <c r="A740" s="1"/>
      <c r="B740" s="1"/>
      <c r="C740" s="28"/>
    </row>
    <row r="741">
      <c r="A741" s="1"/>
      <c r="B741" s="1"/>
      <c r="C741" s="28"/>
    </row>
    <row r="742">
      <c r="A742" s="1"/>
      <c r="B742" s="1"/>
      <c r="C742" s="28"/>
    </row>
    <row r="743">
      <c r="A743" s="1"/>
      <c r="B743" s="1"/>
      <c r="C743" s="28"/>
    </row>
    <row r="744">
      <c r="A744" s="1"/>
      <c r="B744" s="1"/>
      <c r="C744" s="28"/>
    </row>
    <row r="745">
      <c r="A745" s="1"/>
      <c r="B745" s="1"/>
      <c r="C745" s="28"/>
    </row>
    <row r="746">
      <c r="A746" s="1"/>
      <c r="B746" s="1"/>
      <c r="C746" s="28"/>
    </row>
    <row r="747">
      <c r="A747" s="1"/>
      <c r="B747" s="1"/>
      <c r="C747" s="28"/>
    </row>
    <row r="748">
      <c r="A748" s="1"/>
      <c r="B748" s="1"/>
      <c r="C748" s="28"/>
    </row>
    <row r="749">
      <c r="A749" s="1"/>
      <c r="B749" s="1"/>
      <c r="C749" s="28"/>
    </row>
    <row r="750">
      <c r="A750" s="1"/>
      <c r="B750" s="1"/>
      <c r="C750" s="28"/>
    </row>
    <row r="751">
      <c r="A751" s="1"/>
      <c r="B751" s="1"/>
      <c r="C751" s="28"/>
    </row>
    <row r="752">
      <c r="A752" s="1"/>
      <c r="B752" s="1"/>
      <c r="C752" s="28"/>
    </row>
    <row r="753">
      <c r="A753" s="1"/>
      <c r="B753" s="1"/>
      <c r="C753" s="28"/>
    </row>
    <row r="754">
      <c r="A754" s="1"/>
      <c r="B754" s="1"/>
      <c r="C754" s="28"/>
    </row>
    <row r="755">
      <c r="A755" s="1"/>
      <c r="B755" s="1"/>
      <c r="C755" s="28"/>
    </row>
    <row r="756">
      <c r="A756" s="1"/>
      <c r="B756" s="1"/>
      <c r="C756" s="28"/>
    </row>
    <row r="757">
      <c r="A757" s="1"/>
      <c r="B757" s="1"/>
      <c r="C757" s="28"/>
    </row>
    <row r="758">
      <c r="A758" s="1"/>
      <c r="B758" s="1"/>
      <c r="C758" s="28"/>
    </row>
    <row r="759">
      <c r="A759" s="1"/>
      <c r="B759" s="1"/>
      <c r="C759" s="28"/>
    </row>
    <row r="760">
      <c r="A760" s="1"/>
      <c r="B760" s="1"/>
      <c r="C760" s="28"/>
    </row>
    <row r="761">
      <c r="A761" s="1"/>
      <c r="B761" s="1"/>
      <c r="C761" s="28"/>
    </row>
    <row r="762">
      <c r="A762" s="1"/>
      <c r="B762" s="1"/>
      <c r="C762" s="28"/>
    </row>
    <row r="763">
      <c r="A763" s="1"/>
      <c r="B763" s="1"/>
      <c r="C763" s="28"/>
    </row>
    <row r="764">
      <c r="A764" s="1"/>
      <c r="B764" s="1"/>
      <c r="C764" s="28"/>
    </row>
    <row r="765">
      <c r="A765" s="1"/>
      <c r="B765" s="1"/>
      <c r="C765" s="28"/>
    </row>
    <row r="766">
      <c r="A766" s="1"/>
      <c r="B766" s="1"/>
      <c r="C766" s="28"/>
    </row>
    <row r="767">
      <c r="A767" s="1"/>
      <c r="B767" s="1"/>
      <c r="C767" s="28"/>
    </row>
    <row r="768">
      <c r="A768" s="1"/>
      <c r="B768" s="1"/>
      <c r="C768" s="28"/>
    </row>
    <row r="769">
      <c r="A769" s="1"/>
      <c r="B769" s="1"/>
      <c r="C769" s="28"/>
    </row>
    <row r="770">
      <c r="A770" s="1"/>
      <c r="B770" s="1"/>
      <c r="C770" s="28"/>
    </row>
    <row r="771">
      <c r="A771" s="1"/>
      <c r="B771" s="1"/>
      <c r="C771" s="28"/>
    </row>
    <row r="772">
      <c r="A772" s="1"/>
      <c r="B772" s="1"/>
      <c r="C772" s="28"/>
    </row>
    <row r="773">
      <c r="A773" s="1"/>
      <c r="B773" s="1"/>
      <c r="C773" s="28"/>
    </row>
    <row r="774">
      <c r="A774" s="1"/>
      <c r="B774" s="1"/>
      <c r="C774" s="28"/>
    </row>
    <row r="775">
      <c r="A775" s="1"/>
      <c r="B775" s="1"/>
      <c r="C775" s="28"/>
    </row>
    <row r="776">
      <c r="A776" s="1"/>
      <c r="B776" s="1"/>
      <c r="C776" s="28"/>
    </row>
    <row r="777">
      <c r="A777" s="1"/>
      <c r="B777" s="1"/>
      <c r="C777" s="28"/>
    </row>
    <row r="778">
      <c r="A778" s="1"/>
      <c r="B778" s="1"/>
      <c r="C778" s="28"/>
    </row>
    <row r="779">
      <c r="A779" s="1"/>
      <c r="B779" s="1"/>
      <c r="C779" s="28"/>
    </row>
    <row r="780">
      <c r="A780" s="1"/>
      <c r="B780" s="1"/>
      <c r="C780" s="28"/>
    </row>
    <row r="781">
      <c r="A781" s="1"/>
      <c r="B781" s="1"/>
      <c r="C781" s="28"/>
    </row>
    <row r="782">
      <c r="A782" s="1"/>
      <c r="B782" s="1"/>
      <c r="C782" s="28"/>
    </row>
    <row r="783">
      <c r="A783" s="1"/>
      <c r="B783" s="1"/>
      <c r="C783" s="28"/>
    </row>
    <row r="784">
      <c r="A784" s="1"/>
      <c r="B784" s="1"/>
      <c r="C784" s="28"/>
    </row>
    <row r="785">
      <c r="A785" s="1"/>
      <c r="B785" s="1"/>
      <c r="C785" s="28"/>
    </row>
    <row r="786">
      <c r="A786" s="1"/>
      <c r="B786" s="1"/>
      <c r="C786" s="28"/>
    </row>
    <row r="787">
      <c r="A787" s="1"/>
      <c r="B787" s="1"/>
      <c r="C787" s="28"/>
    </row>
    <row r="788">
      <c r="A788" s="1"/>
      <c r="B788" s="1"/>
      <c r="C788" s="28"/>
    </row>
    <row r="789">
      <c r="A789" s="1"/>
      <c r="B789" s="1"/>
      <c r="C789" s="28"/>
    </row>
    <row r="790">
      <c r="A790" s="1"/>
      <c r="B790" s="1"/>
      <c r="C790" s="28"/>
    </row>
    <row r="791">
      <c r="A791" s="1"/>
      <c r="B791" s="1"/>
      <c r="C791" s="28"/>
    </row>
    <row r="792">
      <c r="A792" s="1"/>
      <c r="B792" s="1"/>
      <c r="C792" s="28"/>
    </row>
    <row r="793">
      <c r="A793" s="1"/>
      <c r="B793" s="1"/>
      <c r="C793" s="28"/>
    </row>
    <row r="794">
      <c r="A794" s="1"/>
      <c r="B794" s="1"/>
      <c r="C794" s="28"/>
    </row>
    <row r="795">
      <c r="A795" s="1"/>
      <c r="B795" s="1"/>
      <c r="C795" s="28"/>
    </row>
    <row r="796">
      <c r="A796" s="1"/>
      <c r="B796" s="1"/>
      <c r="C796" s="28"/>
    </row>
    <row r="797">
      <c r="A797" s="1"/>
      <c r="B797" s="1"/>
      <c r="C797" s="28"/>
    </row>
    <row r="798">
      <c r="A798" s="1"/>
      <c r="B798" s="1"/>
      <c r="C798" s="28"/>
    </row>
    <row r="799">
      <c r="A799" s="1"/>
      <c r="B799" s="1"/>
      <c r="C799" s="28"/>
    </row>
    <row r="800">
      <c r="A800" s="1"/>
      <c r="B800" s="1"/>
      <c r="C800" s="28"/>
    </row>
    <row r="801">
      <c r="A801" s="1"/>
      <c r="B801" s="1"/>
      <c r="C801" s="28"/>
    </row>
    <row r="802">
      <c r="A802" s="1"/>
      <c r="B802" s="1"/>
      <c r="C802" s="28"/>
    </row>
    <row r="803">
      <c r="A803" s="1"/>
      <c r="B803" s="1"/>
      <c r="C803" s="28"/>
    </row>
    <row r="804">
      <c r="A804" s="1"/>
      <c r="B804" s="1"/>
      <c r="C804" s="28"/>
    </row>
    <row r="805">
      <c r="A805" s="1"/>
      <c r="B805" s="1"/>
      <c r="C805" s="28"/>
    </row>
    <row r="806">
      <c r="A806" s="1"/>
      <c r="B806" s="1"/>
      <c r="C806" s="28"/>
    </row>
    <row r="807">
      <c r="A807" s="1"/>
      <c r="B807" s="1"/>
      <c r="C807" s="28"/>
    </row>
    <row r="808">
      <c r="A808" s="1"/>
      <c r="B808" s="1"/>
      <c r="C808" s="28"/>
    </row>
    <row r="809">
      <c r="A809" s="1"/>
      <c r="B809" s="1"/>
      <c r="C809" s="28"/>
    </row>
    <row r="810">
      <c r="A810" s="1"/>
      <c r="B810" s="1"/>
      <c r="C810" s="28"/>
    </row>
    <row r="811">
      <c r="A811" s="1"/>
      <c r="B811" s="1"/>
      <c r="C811" s="28"/>
    </row>
    <row r="812">
      <c r="A812" s="1"/>
      <c r="B812" s="1"/>
      <c r="C812" s="28"/>
    </row>
    <row r="813">
      <c r="A813" s="1"/>
      <c r="B813" s="1"/>
      <c r="C813" s="28"/>
    </row>
    <row r="814">
      <c r="A814" s="1"/>
      <c r="B814" s="1"/>
      <c r="C814" s="28"/>
    </row>
    <row r="815">
      <c r="A815" s="1"/>
      <c r="B815" s="1"/>
      <c r="C815" s="28"/>
    </row>
    <row r="816">
      <c r="A816" s="1"/>
      <c r="B816" s="1"/>
      <c r="C816" s="28"/>
    </row>
    <row r="817">
      <c r="A817" s="1"/>
      <c r="B817" s="1"/>
      <c r="C817" s="28"/>
    </row>
    <row r="818">
      <c r="A818" s="1"/>
      <c r="B818" s="1"/>
      <c r="C818" s="28"/>
    </row>
    <row r="819">
      <c r="A819" s="1"/>
      <c r="B819" s="1"/>
      <c r="C819" s="28"/>
    </row>
    <row r="820">
      <c r="A820" s="1"/>
      <c r="B820" s="1"/>
      <c r="C820" s="28"/>
    </row>
    <row r="821">
      <c r="A821" s="1"/>
      <c r="B821" s="1"/>
      <c r="C821" s="28"/>
    </row>
    <row r="822">
      <c r="A822" s="1"/>
      <c r="B822" s="1"/>
      <c r="C822" s="28"/>
    </row>
    <row r="823">
      <c r="A823" s="1"/>
      <c r="B823" s="1"/>
      <c r="C823" s="28"/>
    </row>
    <row r="824">
      <c r="A824" s="1"/>
      <c r="B824" s="1"/>
      <c r="C824" s="28"/>
    </row>
    <row r="825">
      <c r="A825" s="1"/>
      <c r="B825" s="1"/>
      <c r="C825" s="28"/>
    </row>
    <row r="826">
      <c r="A826" s="1"/>
      <c r="B826" s="1"/>
      <c r="C826" s="28"/>
    </row>
    <row r="827">
      <c r="A827" s="1"/>
      <c r="B827" s="1"/>
      <c r="C827" s="28"/>
    </row>
    <row r="828">
      <c r="A828" s="1"/>
      <c r="B828" s="1"/>
      <c r="C828" s="28"/>
    </row>
    <row r="829">
      <c r="A829" s="1"/>
      <c r="B829" s="1"/>
      <c r="C829" s="28"/>
    </row>
    <row r="830">
      <c r="A830" s="1"/>
      <c r="B830" s="1"/>
      <c r="C830" s="28"/>
    </row>
    <row r="831">
      <c r="A831" s="1"/>
      <c r="B831" s="1"/>
      <c r="C831" s="28"/>
    </row>
    <row r="832">
      <c r="A832" s="1"/>
      <c r="B832" s="1"/>
      <c r="C832" s="28"/>
    </row>
    <row r="833">
      <c r="A833" s="1"/>
      <c r="B833" s="1"/>
      <c r="C833" s="28"/>
    </row>
    <row r="834">
      <c r="A834" s="1"/>
      <c r="B834" s="1"/>
      <c r="C834" s="28"/>
    </row>
    <row r="835">
      <c r="A835" s="1"/>
      <c r="B835" s="1"/>
      <c r="C835" s="28"/>
    </row>
    <row r="836">
      <c r="A836" s="1"/>
      <c r="B836" s="1"/>
      <c r="C836" s="28"/>
    </row>
    <row r="837">
      <c r="A837" s="1"/>
      <c r="B837" s="1"/>
      <c r="C837" s="28"/>
    </row>
    <row r="838">
      <c r="A838" s="1"/>
      <c r="B838" s="1"/>
      <c r="C838" s="28"/>
    </row>
    <row r="839">
      <c r="A839" s="1"/>
      <c r="B839" s="1"/>
      <c r="C839" s="28"/>
    </row>
    <row r="840">
      <c r="A840" s="1"/>
      <c r="B840" s="1"/>
      <c r="C840" s="28"/>
    </row>
    <row r="841">
      <c r="A841" s="1"/>
      <c r="B841" s="1"/>
      <c r="C841" s="28"/>
    </row>
    <row r="842">
      <c r="A842" s="1"/>
      <c r="B842" s="1"/>
      <c r="C842" s="28"/>
    </row>
    <row r="843">
      <c r="A843" s="1"/>
      <c r="B843" s="1"/>
      <c r="C843" s="28"/>
    </row>
    <row r="844">
      <c r="A844" s="1"/>
      <c r="B844" s="1"/>
      <c r="C844" s="28"/>
    </row>
    <row r="845">
      <c r="A845" s="1"/>
      <c r="B845" s="1"/>
      <c r="C845" s="28"/>
    </row>
    <row r="846">
      <c r="A846" s="1"/>
      <c r="B846" s="1"/>
      <c r="C846" s="28"/>
    </row>
    <row r="847">
      <c r="A847" s="1"/>
      <c r="B847" s="1"/>
      <c r="C847" s="28"/>
    </row>
    <row r="848">
      <c r="A848" s="1"/>
      <c r="B848" s="1"/>
      <c r="C848" s="28"/>
    </row>
    <row r="849">
      <c r="A849" s="1"/>
      <c r="B849" s="1"/>
      <c r="C849" s="28"/>
    </row>
    <row r="850">
      <c r="A850" s="1"/>
      <c r="B850" s="1"/>
      <c r="C850" s="28"/>
    </row>
    <row r="851">
      <c r="A851" s="1"/>
      <c r="B851" s="1"/>
      <c r="C851" s="28"/>
    </row>
    <row r="852">
      <c r="A852" s="1"/>
      <c r="B852" s="1"/>
      <c r="C852" s="28"/>
    </row>
    <row r="853">
      <c r="A853" s="1"/>
      <c r="B853" s="1"/>
      <c r="C853" s="28"/>
    </row>
    <row r="854">
      <c r="A854" s="1"/>
      <c r="B854" s="1"/>
      <c r="C854" s="28"/>
    </row>
    <row r="855">
      <c r="A855" s="1"/>
      <c r="B855" s="1"/>
      <c r="C855" s="28"/>
    </row>
    <row r="856">
      <c r="A856" s="1"/>
      <c r="B856" s="1"/>
      <c r="C856" s="28"/>
    </row>
    <row r="857">
      <c r="A857" s="1"/>
      <c r="B857" s="1"/>
      <c r="C857" s="28"/>
    </row>
    <row r="858">
      <c r="A858" s="1"/>
      <c r="B858" s="1"/>
      <c r="C858" s="28"/>
    </row>
    <row r="859">
      <c r="A859" s="1"/>
      <c r="B859" s="1"/>
      <c r="C859" s="28"/>
    </row>
    <row r="860">
      <c r="A860" s="1"/>
      <c r="B860" s="1"/>
      <c r="C860" s="28"/>
    </row>
    <row r="861">
      <c r="A861" s="1"/>
      <c r="B861" s="1"/>
      <c r="C861" s="28"/>
    </row>
    <row r="862">
      <c r="A862" s="1"/>
      <c r="B862" s="1"/>
      <c r="C862" s="28"/>
    </row>
    <row r="863">
      <c r="A863" s="1"/>
      <c r="B863" s="1"/>
      <c r="C863" s="28"/>
    </row>
    <row r="864">
      <c r="A864" s="1"/>
      <c r="B864" s="1"/>
      <c r="C864" s="28"/>
    </row>
    <row r="865">
      <c r="A865" s="1"/>
      <c r="B865" s="1"/>
      <c r="C865" s="28"/>
    </row>
    <row r="866">
      <c r="A866" s="1"/>
      <c r="B866" s="1"/>
      <c r="C866" s="28"/>
    </row>
    <row r="867">
      <c r="A867" s="1"/>
      <c r="B867" s="1"/>
      <c r="C867" s="28"/>
    </row>
    <row r="868">
      <c r="A868" s="1"/>
      <c r="B868" s="1"/>
      <c r="C868" s="28"/>
    </row>
    <row r="869">
      <c r="A869" s="1"/>
      <c r="B869" s="1"/>
      <c r="C869" s="28"/>
    </row>
    <row r="870">
      <c r="A870" s="1"/>
      <c r="B870" s="1"/>
      <c r="C870" s="28"/>
    </row>
    <row r="871">
      <c r="A871" s="1"/>
      <c r="B871" s="1"/>
      <c r="C871" s="28"/>
    </row>
    <row r="872">
      <c r="A872" s="1"/>
      <c r="B872" s="1"/>
      <c r="C872" s="28"/>
    </row>
    <row r="873">
      <c r="A873" s="1"/>
      <c r="B873" s="1"/>
      <c r="C873" s="28"/>
    </row>
    <row r="874">
      <c r="A874" s="1"/>
      <c r="B874" s="1"/>
      <c r="C874" s="28"/>
    </row>
    <row r="875">
      <c r="A875" s="1"/>
      <c r="B875" s="1"/>
      <c r="C875" s="28"/>
    </row>
    <row r="876">
      <c r="A876" s="1"/>
      <c r="B876" s="1"/>
      <c r="C876" s="28"/>
    </row>
    <row r="877">
      <c r="A877" s="1"/>
      <c r="B877" s="1"/>
      <c r="C877" s="28"/>
    </row>
    <row r="878">
      <c r="A878" s="1"/>
      <c r="B878" s="1"/>
      <c r="C878" s="28"/>
    </row>
    <row r="879">
      <c r="A879" s="1"/>
      <c r="B879" s="1"/>
      <c r="C879" s="28"/>
    </row>
    <row r="880">
      <c r="A880" s="1"/>
      <c r="B880" s="1"/>
      <c r="C880" s="28"/>
    </row>
    <row r="881">
      <c r="A881" s="1"/>
      <c r="B881" s="1"/>
      <c r="C881" s="28"/>
    </row>
    <row r="882">
      <c r="A882" s="1"/>
      <c r="B882" s="1"/>
      <c r="C882" s="28"/>
    </row>
    <row r="883">
      <c r="A883" s="1"/>
      <c r="B883" s="1"/>
      <c r="C883" s="28"/>
    </row>
    <row r="884">
      <c r="A884" s="1"/>
      <c r="B884" s="1"/>
      <c r="C884" s="28"/>
    </row>
    <row r="885">
      <c r="A885" s="1"/>
      <c r="B885" s="1"/>
      <c r="C885" s="28"/>
    </row>
    <row r="886">
      <c r="A886" s="1"/>
      <c r="B886" s="1"/>
      <c r="C886" s="28"/>
    </row>
    <row r="887">
      <c r="A887" s="1"/>
      <c r="B887" s="1"/>
      <c r="C887" s="28"/>
    </row>
    <row r="888">
      <c r="A888" s="1"/>
      <c r="B888" s="1"/>
      <c r="C888" s="28"/>
    </row>
    <row r="889">
      <c r="A889" s="1"/>
      <c r="B889" s="1"/>
      <c r="C889" s="28"/>
    </row>
    <row r="890">
      <c r="A890" s="1"/>
      <c r="B890" s="1"/>
      <c r="C890" s="28"/>
    </row>
    <row r="891">
      <c r="A891" s="1"/>
      <c r="B891" s="1"/>
      <c r="C891" s="28"/>
    </row>
    <row r="892">
      <c r="A892" s="1"/>
      <c r="B892" s="1"/>
      <c r="C892" s="28"/>
    </row>
    <row r="893">
      <c r="A893" s="1"/>
      <c r="B893" s="1"/>
      <c r="C893" s="28"/>
    </row>
    <row r="894">
      <c r="A894" s="1"/>
      <c r="B894" s="1"/>
      <c r="C894" s="28"/>
    </row>
    <row r="895">
      <c r="A895" s="1"/>
      <c r="B895" s="1"/>
      <c r="C895" s="28"/>
    </row>
    <row r="896">
      <c r="A896" s="1"/>
      <c r="B896" s="1"/>
      <c r="C896" s="28"/>
    </row>
    <row r="897">
      <c r="A897" s="1"/>
      <c r="B897" s="1"/>
      <c r="C897" s="28"/>
    </row>
    <row r="898">
      <c r="A898" s="1"/>
      <c r="B898" s="1"/>
      <c r="C898" s="28"/>
    </row>
    <row r="899">
      <c r="A899" s="1"/>
      <c r="B899" s="1"/>
      <c r="C899" s="28"/>
    </row>
    <row r="900">
      <c r="A900" s="1"/>
      <c r="B900" s="1"/>
      <c r="C900" s="28"/>
    </row>
    <row r="901">
      <c r="A901" s="1"/>
      <c r="B901" s="1"/>
      <c r="C901" s="28"/>
    </row>
    <row r="902">
      <c r="A902" s="1"/>
      <c r="B902" s="1"/>
      <c r="C902" s="28"/>
    </row>
    <row r="903">
      <c r="A903" s="1"/>
      <c r="B903" s="1"/>
      <c r="C903" s="28"/>
    </row>
    <row r="904">
      <c r="A904" s="1"/>
      <c r="B904" s="1"/>
      <c r="C904" s="28"/>
    </row>
    <row r="905">
      <c r="A905" s="1"/>
      <c r="B905" s="1"/>
      <c r="C905" s="28"/>
    </row>
    <row r="906">
      <c r="A906" s="1"/>
      <c r="B906" s="1"/>
      <c r="C906" s="28"/>
    </row>
    <row r="907">
      <c r="A907" s="1"/>
      <c r="B907" s="1"/>
      <c r="C907" s="28"/>
    </row>
    <row r="908">
      <c r="A908" s="1"/>
      <c r="B908" s="1"/>
      <c r="C908" s="28"/>
    </row>
    <row r="909">
      <c r="A909" s="1"/>
      <c r="B909" s="1"/>
      <c r="C909" s="28"/>
    </row>
    <row r="910">
      <c r="A910" s="1"/>
      <c r="B910" s="1"/>
      <c r="C910" s="28"/>
    </row>
    <row r="911">
      <c r="A911" s="1"/>
      <c r="B911" s="1"/>
      <c r="C911" s="28"/>
    </row>
    <row r="912">
      <c r="A912" s="1"/>
      <c r="B912" s="1"/>
      <c r="C912" s="28"/>
    </row>
    <row r="913">
      <c r="A913" s="1"/>
      <c r="B913" s="1"/>
      <c r="C913" s="28"/>
    </row>
    <row r="914">
      <c r="A914" s="1"/>
      <c r="B914" s="1"/>
      <c r="C914" s="28"/>
    </row>
    <row r="915">
      <c r="A915" s="1"/>
      <c r="B915" s="1"/>
      <c r="C915" s="28"/>
    </row>
    <row r="916">
      <c r="A916" s="1"/>
      <c r="B916" s="1"/>
      <c r="C916" s="28"/>
    </row>
    <row r="917">
      <c r="A917" s="1"/>
      <c r="B917" s="1"/>
      <c r="C917" s="28"/>
    </row>
    <row r="918">
      <c r="A918" s="1"/>
      <c r="B918" s="1"/>
      <c r="C918" s="28"/>
    </row>
    <row r="919">
      <c r="A919" s="1"/>
      <c r="B919" s="1"/>
      <c r="C919" s="28"/>
    </row>
    <row r="920">
      <c r="A920" s="1"/>
      <c r="B920" s="1"/>
      <c r="C920" s="28"/>
    </row>
    <row r="921">
      <c r="A921" s="1"/>
      <c r="B921" s="1"/>
      <c r="C921" s="28"/>
    </row>
    <row r="922">
      <c r="A922" s="1"/>
      <c r="B922" s="1"/>
      <c r="C922" s="28"/>
    </row>
    <row r="923">
      <c r="A923" s="1"/>
      <c r="B923" s="1"/>
      <c r="C923" s="28"/>
    </row>
    <row r="924">
      <c r="A924" s="1"/>
      <c r="B924" s="1"/>
      <c r="C924" s="28"/>
    </row>
    <row r="925">
      <c r="A925" s="1"/>
      <c r="B925" s="1"/>
      <c r="C925" s="28"/>
    </row>
    <row r="926">
      <c r="A926" s="1"/>
      <c r="B926" s="1"/>
      <c r="C926" s="28"/>
    </row>
    <row r="927">
      <c r="A927" s="1"/>
      <c r="B927" s="1"/>
      <c r="C927" s="28"/>
    </row>
    <row r="928">
      <c r="A928" s="1"/>
      <c r="B928" s="1"/>
      <c r="C928" s="28"/>
    </row>
    <row r="929">
      <c r="A929" s="1"/>
      <c r="B929" s="1"/>
      <c r="C929" s="28"/>
    </row>
    <row r="930">
      <c r="A930" s="1"/>
      <c r="B930" s="1"/>
      <c r="C930" s="28"/>
    </row>
    <row r="931">
      <c r="A931" s="1"/>
      <c r="B931" s="1"/>
      <c r="C931" s="28"/>
    </row>
    <row r="932">
      <c r="A932" s="1"/>
      <c r="B932" s="1"/>
      <c r="C932" s="28"/>
    </row>
    <row r="933">
      <c r="A933" s="1"/>
      <c r="B933" s="1"/>
      <c r="C933" s="28"/>
    </row>
    <row r="934">
      <c r="A934" s="1"/>
      <c r="B934" s="1"/>
      <c r="C934" s="28"/>
    </row>
    <row r="935">
      <c r="A935" s="1"/>
      <c r="B935" s="1"/>
      <c r="C935" s="28"/>
    </row>
    <row r="936">
      <c r="A936" s="1"/>
      <c r="B936" s="1"/>
      <c r="C936" s="28"/>
    </row>
    <row r="937">
      <c r="A937" s="1"/>
      <c r="B937" s="1"/>
      <c r="C937" s="28"/>
    </row>
    <row r="938">
      <c r="A938" s="1"/>
      <c r="B938" s="1"/>
      <c r="C938" s="28"/>
    </row>
    <row r="939">
      <c r="A939" s="1"/>
      <c r="B939" s="1"/>
      <c r="C939" s="28"/>
    </row>
    <row r="940">
      <c r="A940" s="1"/>
      <c r="B940" s="1"/>
      <c r="C940" s="28"/>
    </row>
    <row r="941">
      <c r="A941" s="1"/>
      <c r="B941" s="1"/>
      <c r="C941" s="28"/>
    </row>
    <row r="942">
      <c r="A942" s="1"/>
      <c r="B942" s="1"/>
      <c r="C942" s="28"/>
    </row>
    <row r="943">
      <c r="A943" s="1"/>
      <c r="B943" s="1"/>
      <c r="C943" s="28"/>
    </row>
    <row r="944">
      <c r="A944" s="1"/>
      <c r="B944" s="1"/>
      <c r="C944" s="28"/>
    </row>
    <row r="945">
      <c r="A945" s="1"/>
      <c r="B945" s="1"/>
      <c r="C945" s="28"/>
    </row>
    <row r="946">
      <c r="A946" s="1"/>
      <c r="B946" s="1"/>
      <c r="C946" s="28"/>
    </row>
    <row r="947">
      <c r="A947" s="1"/>
      <c r="B947" s="1"/>
      <c r="C947" s="28"/>
    </row>
    <row r="948">
      <c r="A948" s="1"/>
      <c r="B948" s="1"/>
      <c r="C948" s="28"/>
    </row>
    <row r="949">
      <c r="A949" s="1"/>
      <c r="B949" s="1"/>
      <c r="C949" s="28"/>
    </row>
    <row r="950">
      <c r="A950" s="1"/>
      <c r="B950" s="1"/>
      <c r="C950" s="28"/>
    </row>
    <row r="951">
      <c r="A951" s="1"/>
      <c r="B951" s="1"/>
      <c r="C951" s="28"/>
    </row>
    <row r="952">
      <c r="A952" s="1"/>
      <c r="B952" s="1"/>
      <c r="C952" s="28"/>
    </row>
    <row r="953">
      <c r="A953" s="1"/>
      <c r="B953" s="1"/>
      <c r="C953" s="28"/>
    </row>
    <row r="954">
      <c r="A954" s="1"/>
      <c r="B954" s="1"/>
      <c r="C954" s="28"/>
    </row>
    <row r="955">
      <c r="A955" s="1"/>
      <c r="B955" s="1"/>
      <c r="C955" s="28"/>
    </row>
    <row r="956">
      <c r="A956" s="1"/>
      <c r="B956" s="1"/>
      <c r="C956" s="28"/>
    </row>
    <row r="957">
      <c r="A957" s="1"/>
      <c r="B957" s="1"/>
      <c r="C957" s="28"/>
    </row>
    <row r="958">
      <c r="A958" s="1"/>
      <c r="B958" s="1"/>
      <c r="C958" s="28"/>
    </row>
    <row r="959">
      <c r="A959" s="1"/>
      <c r="B959" s="1"/>
      <c r="C959" s="28"/>
    </row>
    <row r="960">
      <c r="A960" s="1"/>
      <c r="B960" s="1"/>
      <c r="C960" s="28"/>
    </row>
    <row r="961">
      <c r="A961" s="1"/>
      <c r="B961" s="1"/>
      <c r="C961" s="28"/>
    </row>
    <row r="962">
      <c r="A962" s="1"/>
      <c r="B962" s="1"/>
      <c r="C962" s="28"/>
    </row>
    <row r="963">
      <c r="A963" s="1"/>
      <c r="B963" s="1"/>
      <c r="C963" s="28"/>
    </row>
    <row r="964">
      <c r="A964" s="1"/>
      <c r="B964" s="1"/>
      <c r="C964" s="28"/>
    </row>
    <row r="965">
      <c r="A965" s="1"/>
      <c r="B965" s="1"/>
      <c r="C965" s="28"/>
    </row>
    <row r="966">
      <c r="A966" s="1"/>
      <c r="B966" s="1"/>
      <c r="C966" s="28"/>
    </row>
    <row r="967">
      <c r="A967" s="1"/>
      <c r="B967" s="1"/>
      <c r="C967" s="28"/>
    </row>
    <row r="968">
      <c r="A968" s="1"/>
      <c r="B968" s="1"/>
      <c r="C968" s="28"/>
    </row>
    <row r="969">
      <c r="A969" s="1"/>
      <c r="B969" s="1"/>
      <c r="C969" s="28"/>
    </row>
    <row r="970">
      <c r="A970" s="1"/>
      <c r="B970" s="1"/>
      <c r="C970" s="28"/>
    </row>
    <row r="971">
      <c r="A971" s="1"/>
      <c r="B971" s="1"/>
      <c r="C971" s="28"/>
    </row>
    <row r="972">
      <c r="A972" s="1"/>
      <c r="B972" s="1"/>
      <c r="C972" s="28"/>
    </row>
    <row r="973">
      <c r="A973" s="1"/>
      <c r="B973" s="1"/>
      <c r="C973" s="28"/>
    </row>
    <row r="974">
      <c r="A974" s="1"/>
      <c r="B974" s="1"/>
      <c r="C974" s="28"/>
    </row>
    <row r="975">
      <c r="A975" s="1"/>
      <c r="B975" s="1"/>
      <c r="C975" s="28"/>
    </row>
    <row r="976">
      <c r="A976" s="1"/>
      <c r="B976" s="1"/>
      <c r="C976" s="28"/>
    </row>
    <row r="977">
      <c r="A977" s="1"/>
      <c r="B977" s="1"/>
      <c r="C977" s="28"/>
    </row>
    <row r="978">
      <c r="A978" s="1"/>
      <c r="B978" s="1"/>
      <c r="C978" s="28"/>
    </row>
    <row r="979">
      <c r="A979" s="1"/>
      <c r="B979" s="1"/>
      <c r="C979" s="28"/>
    </row>
    <row r="980">
      <c r="A980" s="1"/>
      <c r="B980" s="1"/>
      <c r="C980" s="28"/>
    </row>
    <row r="981">
      <c r="A981" s="1"/>
      <c r="B981" s="1"/>
      <c r="C981" s="28"/>
    </row>
    <row r="982">
      <c r="A982" s="1"/>
      <c r="B982" s="1"/>
      <c r="C982" s="28"/>
    </row>
    <row r="983">
      <c r="A983" s="1"/>
      <c r="B983" s="1"/>
      <c r="C983" s="28"/>
    </row>
    <row r="984">
      <c r="A984" s="1"/>
      <c r="B984" s="1"/>
      <c r="C984" s="28"/>
    </row>
    <row r="985">
      <c r="A985" s="1"/>
      <c r="B985" s="1"/>
      <c r="C985" s="28"/>
    </row>
    <row r="986">
      <c r="A986" s="1"/>
      <c r="B986" s="1"/>
      <c r="C986" s="28"/>
    </row>
    <row r="987">
      <c r="A987" s="1"/>
      <c r="B987" s="1"/>
      <c r="C987" s="28"/>
    </row>
    <row r="988">
      <c r="A988" s="1"/>
      <c r="B988" s="1"/>
      <c r="C988" s="28"/>
    </row>
    <row r="989">
      <c r="A989" s="1"/>
      <c r="B989" s="1"/>
      <c r="C989" s="28"/>
    </row>
    <row r="990">
      <c r="A990" s="1"/>
      <c r="B990" s="1"/>
      <c r="C990" s="28"/>
    </row>
    <row r="991">
      <c r="A991" s="1"/>
      <c r="B991" s="1"/>
      <c r="C991" s="28"/>
    </row>
    <row r="992">
      <c r="A992" s="1"/>
      <c r="B992" s="1"/>
      <c r="C992" s="28"/>
    </row>
    <row r="993">
      <c r="A993" s="1"/>
      <c r="B993" s="1"/>
      <c r="C993" s="28"/>
    </row>
    <row r="994">
      <c r="A994" s="1"/>
      <c r="B994" s="1"/>
      <c r="C994" s="28"/>
    </row>
    <row r="995">
      <c r="A995" s="1"/>
      <c r="B995" s="1"/>
      <c r="C995" s="28"/>
    </row>
    <row r="996">
      <c r="A996" s="1"/>
      <c r="B996" s="1"/>
      <c r="C996" s="28"/>
    </row>
    <row r="997">
      <c r="A997" s="1"/>
      <c r="B997" s="1"/>
      <c r="C997" s="28"/>
    </row>
    <row r="998">
      <c r="A998" s="1"/>
      <c r="B998" s="1"/>
      <c r="C998" s="28"/>
    </row>
    <row r="999">
      <c r="A999" s="1"/>
      <c r="B999" s="1"/>
      <c r="C999" s="28"/>
    </row>
    <row r="1000">
      <c r="A1000" s="1"/>
      <c r="B1000" s="1"/>
      <c r="C1000" s="28"/>
    </row>
  </sheetData>
  <drawing r:id="rId3"/>
</worksheet>
</file>