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CH ORDA ELECTRONIC\Downloads\"/>
    </mc:Choice>
  </mc:AlternateContent>
  <xr:revisionPtr revIDLastSave="0" documentId="8_{8A6EE84F-4886-44B2-8E94-7ACC77753EF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1" sheetId="1" r:id="rId1"/>
    <sheet name="co2" sheetId="2" r:id="rId2"/>
    <sheet name="co3" sheetId="3" r:id="rId3"/>
    <sheet name="co1x2x3" sheetId="4" r:id="rId4"/>
  </sheets>
  <definedNames>
    <definedName name="_xlnm._FilterDatabase" localSheetId="0" hidden="1">'co1'!$A$1:$G$1000</definedName>
    <definedName name="_xlnm._FilterDatabase" localSheetId="1" hidden="1">'co2'!$A$1:$G$999</definedName>
    <definedName name="_xlnm._FilterDatabase" localSheetId="2" hidden="1">'co3'!$A$1:$G$1206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2" i="4" l="1"/>
  <c r="K252" i="4"/>
  <c r="J252" i="4"/>
  <c r="H252" i="4"/>
  <c r="G252" i="4"/>
  <c r="F252" i="4"/>
  <c r="L251" i="4"/>
  <c r="K251" i="4"/>
  <c r="J251" i="4"/>
  <c r="H251" i="4"/>
  <c r="G251" i="4"/>
  <c r="F251" i="4"/>
  <c r="L250" i="4"/>
  <c r="K250" i="4"/>
  <c r="J250" i="4"/>
  <c r="H250" i="4"/>
  <c r="G250" i="4"/>
  <c r="F250" i="4"/>
  <c r="L249" i="4"/>
  <c r="K249" i="4"/>
  <c r="J249" i="4"/>
  <c r="H249" i="4"/>
  <c r="G249" i="4"/>
  <c r="F249" i="4"/>
  <c r="L248" i="4"/>
  <c r="K248" i="4"/>
  <c r="J248" i="4"/>
  <c r="H248" i="4"/>
  <c r="G248" i="4"/>
  <c r="F248" i="4"/>
  <c r="L247" i="4"/>
  <c r="K247" i="4"/>
  <c r="J247" i="4"/>
  <c r="H247" i="4"/>
  <c r="G247" i="4"/>
  <c r="F247" i="4"/>
  <c r="L246" i="4"/>
  <c r="K246" i="4"/>
  <c r="J246" i="4"/>
  <c r="H246" i="4"/>
  <c r="G246" i="4"/>
  <c r="F246" i="4"/>
  <c r="L245" i="4"/>
  <c r="K245" i="4"/>
  <c r="J245" i="4"/>
  <c r="H245" i="4"/>
  <c r="G245" i="4"/>
  <c r="F245" i="4"/>
  <c r="L244" i="4"/>
  <c r="K244" i="4"/>
  <c r="J244" i="4"/>
  <c r="H244" i="4"/>
  <c r="G244" i="4"/>
  <c r="F244" i="4"/>
  <c r="L243" i="4"/>
  <c r="K243" i="4"/>
  <c r="J243" i="4"/>
  <c r="H243" i="4"/>
  <c r="G243" i="4"/>
  <c r="F243" i="4"/>
  <c r="L242" i="4"/>
  <c r="K242" i="4"/>
  <c r="J242" i="4"/>
  <c r="H242" i="4"/>
  <c r="G242" i="4"/>
  <c r="F242" i="4"/>
  <c r="L241" i="4"/>
  <c r="K241" i="4"/>
  <c r="J241" i="4"/>
  <c r="H241" i="4"/>
  <c r="G241" i="4"/>
  <c r="F241" i="4"/>
  <c r="L240" i="4"/>
  <c r="K240" i="4"/>
  <c r="J240" i="4"/>
  <c r="H240" i="4"/>
  <c r="G240" i="4"/>
  <c r="F240" i="4"/>
  <c r="L239" i="4"/>
  <c r="K239" i="4"/>
  <c r="J239" i="4"/>
  <c r="H239" i="4"/>
  <c r="G239" i="4"/>
  <c r="F239" i="4"/>
  <c r="L238" i="4"/>
  <c r="K238" i="4"/>
  <c r="J238" i="4"/>
  <c r="H238" i="4"/>
  <c r="G238" i="4"/>
  <c r="F238" i="4"/>
  <c r="L237" i="4"/>
  <c r="K237" i="4"/>
  <c r="J237" i="4"/>
  <c r="H237" i="4"/>
  <c r="G237" i="4"/>
  <c r="F237" i="4"/>
  <c r="L236" i="4"/>
  <c r="K236" i="4"/>
  <c r="J236" i="4"/>
  <c r="H236" i="4"/>
  <c r="G236" i="4"/>
  <c r="F236" i="4"/>
  <c r="L235" i="4"/>
  <c r="K235" i="4"/>
  <c r="J235" i="4"/>
  <c r="H235" i="4"/>
  <c r="G235" i="4"/>
  <c r="F235" i="4"/>
  <c r="L234" i="4"/>
  <c r="K234" i="4"/>
  <c r="J234" i="4"/>
  <c r="H234" i="4"/>
  <c r="G234" i="4"/>
  <c r="F234" i="4"/>
  <c r="L233" i="4"/>
  <c r="K233" i="4"/>
  <c r="J233" i="4"/>
  <c r="H233" i="4"/>
  <c r="G233" i="4"/>
  <c r="F233" i="4"/>
  <c r="L232" i="4"/>
  <c r="K232" i="4"/>
  <c r="J232" i="4"/>
  <c r="H232" i="4"/>
  <c r="G232" i="4"/>
  <c r="F232" i="4"/>
  <c r="L231" i="4"/>
  <c r="K231" i="4"/>
  <c r="J231" i="4"/>
  <c r="H231" i="4"/>
  <c r="G231" i="4"/>
  <c r="F231" i="4"/>
  <c r="L230" i="4"/>
  <c r="K230" i="4"/>
  <c r="J230" i="4"/>
  <c r="H230" i="4"/>
  <c r="G230" i="4"/>
  <c r="F230" i="4"/>
  <c r="L229" i="4"/>
  <c r="K229" i="4"/>
  <c r="J229" i="4"/>
  <c r="H229" i="4"/>
  <c r="G229" i="4"/>
  <c r="F229" i="4"/>
  <c r="L228" i="4"/>
  <c r="K228" i="4"/>
  <c r="J228" i="4"/>
  <c r="H228" i="4"/>
  <c r="G228" i="4"/>
  <c r="F228" i="4"/>
  <c r="L227" i="4"/>
  <c r="K227" i="4"/>
  <c r="J227" i="4"/>
  <c r="H227" i="4"/>
  <c r="G227" i="4"/>
  <c r="F227" i="4"/>
  <c r="L226" i="4"/>
  <c r="K226" i="4"/>
  <c r="J226" i="4"/>
  <c r="H226" i="4"/>
  <c r="G226" i="4"/>
  <c r="F226" i="4"/>
  <c r="L225" i="4"/>
  <c r="K225" i="4"/>
  <c r="J225" i="4"/>
  <c r="H225" i="4"/>
  <c r="G225" i="4"/>
  <c r="F225" i="4"/>
  <c r="L224" i="4"/>
  <c r="K224" i="4"/>
  <c r="J224" i="4"/>
  <c r="H224" i="4"/>
  <c r="G224" i="4"/>
  <c r="F224" i="4"/>
  <c r="L223" i="4"/>
  <c r="K223" i="4"/>
  <c r="J223" i="4"/>
  <c r="H223" i="4"/>
  <c r="G223" i="4"/>
  <c r="F223" i="4"/>
  <c r="L222" i="4"/>
  <c r="K222" i="4"/>
  <c r="J222" i="4"/>
  <c r="H222" i="4"/>
  <c r="G222" i="4"/>
  <c r="F222" i="4"/>
  <c r="L221" i="4"/>
  <c r="K221" i="4"/>
  <c r="J221" i="4"/>
  <c r="H221" i="4"/>
  <c r="G221" i="4"/>
  <c r="F221" i="4"/>
  <c r="L220" i="4"/>
  <c r="K220" i="4"/>
  <c r="J220" i="4"/>
  <c r="H220" i="4"/>
  <c r="G220" i="4"/>
  <c r="F220" i="4"/>
  <c r="L219" i="4"/>
  <c r="K219" i="4"/>
  <c r="J219" i="4"/>
  <c r="H219" i="4"/>
  <c r="G219" i="4"/>
  <c r="F219" i="4"/>
  <c r="L218" i="4"/>
  <c r="K218" i="4"/>
  <c r="J218" i="4"/>
  <c r="H218" i="4"/>
  <c r="G218" i="4"/>
  <c r="F218" i="4"/>
  <c r="L217" i="4"/>
  <c r="K217" i="4"/>
  <c r="J217" i="4"/>
  <c r="H217" i="4"/>
  <c r="G217" i="4"/>
  <c r="F217" i="4"/>
  <c r="L216" i="4"/>
  <c r="K216" i="4"/>
  <c r="J216" i="4"/>
  <c r="H216" i="4"/>
  <c r="G216" i="4"/>
  <c r="F216" i="4"/>
  <c r="L215" i="4"/>
  <c r="K215" i="4"/>
  <c r="J215" i="4"/>
  <c r="H215" i="4"/>
  <c r="G215" i="4"/>
  <c r="F215" i="4"/>
  <c r="L214" i="4"/>
  <c r="K214" i="4"/>
  <c r="J214" i="4"/>
  <c r="H214" i="4"/>
  <c r="G214" i="4"/>
  <c r="F214" i="4"/>
  <c r="L213" i="4"/>
  <c r="K213" i="4"/>
  <c r="J213" i="4"/>
  <c r="H213" i="4"/>
  <c r="G213" i="4"/>
  <c r="F213" i="4"/>
  <c r="L212" i="4"/>
  <c r="K212" i="4"/>
  <c r="J212" i="4"/>
  <c r="H212" i="4"/>
  <c r="G212" i="4"/>
  <c r="F212" i="4"/>
  <c r="L211" i="4"/>
  <c r="K211" i="4"/>
  <c r="J211" i="4"/>
  <c r="H211" i="4"/>
  <c r="G211" i="4"/>
  <c r="F211" i="4"/>
  <c r="L210" i="4"/>
  <c r="K210" i="4"/>
  <c r="J210" i="4"/>
  <c r="H210" i="4"/>
  <c r="G210" i="4"/>
  <c r="F210" i="4"/>
  <c r="L209" i="4"/>
  <c r="K209" i="4"/>
  <c r="J209" i="4"/>
  <c r="H209" i="4"/>
  <c r="G209" i="4"/>
  <c r="F209" i="4"/>
  <c r="L208" i="4"/>
  <c r="K208" i="4"/>
  <c r="J208" i="4"/>
  <c r="H208" i="4"/>
  <c r="G208" i="4"/>
  <c r="F208" i="4"/>
  <c r="L207" i="4"/>
  <c r="K207" i="4"/>
  <c r="J207" i="4"/>
  <c r="H207" i="4"/>
  <c r="G207" i="4"/>
  <c r="F207" i="4"/>
  <c r="L206" i="4"/>
  <c r="K206" i="4"/>
  <c r="J206" i="4"/>
  <c r="H206" i="4"/>
  <c r="G206" i="4"/>
  <c r="F206" i="4"/>
  <c r="L205" i="4"/>
  <c r="K205" i="4"/>
  <c r="J205" i="4"/>
  <c r="H205" i="4"/>
  <c r="G205" i="4"/>
  <c r="F205" i="4"/>
  <c r="L204" i="4"/>
  <c r="K204" i="4"/>
  <c r="J204" i="4"/>
  <c r="H204" i="4"/>
  <c r="G204" i="4"/>
  <c r="F204" i="4"/>
  <c r="L203" i="4"/>
  <c r="K203" i="4"/>
  <c r="J203" i="4"/>
  <c r="H203" i="4"/>
  <c r="G203" i="4"/>
  <c r="F203" i="4"/>
  <c r="L202" i="4"/>
  <c r="K202" i="4"/>
  <c r="J202" i="4"/>
  <c r="H202" i="4"/>
  <c r="G202" i="4"/>
  <c r="F202" i="4"/>
  <c r="L201" i="4"/>
  <c r="K201" i="4"/>
  <c r="J201" i="4"/>
  <c r="H201" i="4"/>
  <c r="G201" i="4"/>
  <c r="F201" i="4"/>
  <c r="L200" i="4"/>
  <c r="K200" i="4"/>
  <c r="J200" i="4"/>
  <c r="H200" i="4"/>
  <c r="G200" i="4"/>
  <c r="F200" i="4"/>
  <c r="L199" i="4"/>
  <c r="K199" i="4"/>
  <c r="J199" i="4"/>
  <c r="H199" i="4"/>
  <c r="G199" i="4"/>
  <c r="F199" i="4"/>
  <c r="L198" i="4"/>
  <c r="K198" i="4"/>
  <c r="J198" i="4"/>
  <c r="H198" i="4"/>
  <c r="G198" i="4"/>
  <c r="F198" i="4"/>
  <c r="L197" i="4"/>
  <c r="K197" i="4"/>
  <c r="J197" i="4"/>
  <c r="H197" i="4"/>
  <c r="G197" i="4"/>
  <c r="F197" i="4"/>
  <c r="L196" i="4"/>
  <c r="K196" i="4"/>
  <c r="J196" i="4"/>
  <c r="H196" i="4"/>
  <c r="G196" i="4"/>
  <c r="F196" i="4"/>
  <c r="L195" i="4"/>
  <c r="K195" i="4"/>
  <c r="J195" i="4"/>
  <c r="H195" i="4"/>
  <c r="G195" i="4"/>
  <c r="F195" i="4"/>
  <c r="L194" i="4"/>
  <c r="K194" i="4"/>
  <c r="J194" i="4"/>
  <c r="H194" i="4"/>
  <c r="G194" i="4"/>
  <c r="F194" i="4"/>
  <c r="L193" i="4"/>
  <c r="K193" i="4"/>
  <c r="J193" i="4"/>
  <c r="H193" i="4"/>
  <c r="G193" i="4"/>
  <c r="F193" i="4"/>
  <c r="L192" i="4"/>
  <c r="K192" i="4"/>
  <c r="J192" i="4"/>
  <c r="H192" i="4"/>
  <c r="G192" i="4"/>
  <c r="F192" i="4"/>
  <c r="L191" i="4"/>
  <c r="K191" i="4"/>
  <c r="J191" i="4"/>
  <c r="H191" i="4"/>
  <c r="G191" i="4"/>
  <c r="F191" i="4"/>
  <c r="L190" i="4"/>
  <c r="K190" i="4"/>
  <c r="J190" i="4"/>
  <c r="H190" i="4"/>
  <c r="G190" i="4"/>
  <c r="F190" i="4"/>
  <c r="L189" i="4"/>
  <c r="K189" i="4"/>
  <c r="J189" i="4"/>
  <c r="H189" i="4"/>
  <c r="G189" i="4"/>
  <c r="F189" i="4"/>
  <c r="L188" i="4"/>
  <c r="K188" i="4"/>
  <c r="J188" i="4"/>
  <c r="H188" i="4"/>
  <c r="G188" i="4"/>
  <c r="F188" i="4"/>
  <c r="L187" i="4"/>
  <c r="K187" i="4"/>
  <c r="J187" i="4"/>
  <c r="H187" i="4"/>
  <c r="G187" i="4"/>
  <c r="F187" i="4"/>
  <c r="L186" i="4"/>
  <c r="K186" i="4"/>
  <c r="J186" i="4"/>
  <c r="H186" i="4"/>
  <c r="G186" i="4"/>
  <c r="F186" i="4"/>
  <c r="L185" i="4"/>
  <c r="K185" i="4"/>
  <c r="J185" i="4"/>
  <c r="H185" i="4"/>
  <c r="G185" i="4"/>
  <c r="F185" i="4"/>
  <c r="L184" i="4"/>
  <c r="K184" i="4"/>
  <c r="J184" i="4"/>
  <c r="H184" i="4"/>
  <c r="G184" i="4"/>
  <c r="F184" i="4"/>
  <c r="L183" i="4"/>
  <c r="K183" i="4"/>
  <c r="J183" i="4"/>
  <c r="H183" i="4"/>
  <c r="G183" i="4"/>
  <c r="F183" i="4"/>
  <c r="L182" i="4"/>
  <c r="K182" i="4"/>
  <c r="J182" i="4"/>
  <c r="H182" i="4"/>
  <c r="G182" i="4"/>
  <c r="F182" i="4"/>
  <c r="L181" i="4"/>
  <c r="K181" i="4"/>
  <c r="J181" i="4"/>
  <c r="H181" i="4"/>
  <c r="G181" i="4"/>
  <c r="F181" i="4"/>
  <c r="L180" i="4"/>
  <c r="K180" i="4"/>
  <c r="J180" i="4"/>
  <c r="H180" i="4"/>
  <c r="G180" i="4"/>
  <c r="F180" i="4"/>
  <c r="L179" i="4"/>
  <c r="K179" i="4"/>
  <c r="J179" i="4"/>
  <c r="H179" i="4"/>
  <c r="G179" i="4"/>
  <c r="F179" i="4"/>
  <c r="L178" i="4"/>
  <c r="K178" i="4"/>
  <c r="J178" i="4"/>
  <c r="H178" i="4"/>
  <c r="G178" i="4"/>
  <c r="F178" i="4"/>
  <c r="L177" i="4"/>
  <c r="K177" i="4"/>
  <c r="J177" i="4"/>
  <c r="H177" i="4"/>
  <c r="G177" i="4"/>
  <c r="F177" i="4"/>
  <c r="L176" i="4"/>
  <c r="K176" i="4"/>
  <c r="J176" i="4"/>
  <c r="H176" i="4"/>
  <c r="G176" i="4"/>
  <c r="F176" i="4"/>
  <c r="L175" i="4"/>
  <c r="K175" i="4"/>
  <c r="J175" i="4"/>
  <c r="H175" i="4"/>
  <c r="G175" i="4"/>
  <c r="F175" i="4"/>
  <c r="L174" i="4"/>
  <c r="K174" i="4"/>
  <c r="J174" i="4"/>
  <c r="H174" i="4"/>
  <c r="G174" i="4"/>
  <c r="F174" i="4"/>
  <c r="L173" i="4"/>
  <c r="K173" i="4"/>
  <c r="J173" i="4"/>
  <c r="H173" i="4"/>
  <c r="G173" i="4"/>
  <c r="F173" i="4"/>
  <c r="L172" i="4"/>
  <c r="K172" i="4"/>
  <c r="J172" i="4"/>
  <c r="H172" i="4"/>
  <c r="G172" i="4"/>
  <c r="F172" i="4"/>
  <c r="L171" i="4"/>
  <c r="K171" i="4"/>
  <c r="J171" i="4"/>
  <c r="H171" i="4"/>
  <c r="G171" i="4"/>
  <c r="F171" i="4"/>
  <c r="L170" i="4"/>
  <c r="K170" i="4"/>
  <c r="J170" i="4"/>
  <c r="H170" i="4"/>
  <c r="G170" i="4"/>
  <c r="F170" i="4"/>
  <c r="L169" i="4"/>
  <c r="K169" i="4"/>
  <c r="J169" i="4"/>
  <c r="H169" i="4"/>
  <c r="G169" i="4"/>
  <c r="F169" i="4"/>
  <c r="L168" i="4"/>
  <c r="K168" i="4"/>
  <c r="J168" i="4"/>
  <c r="H168" i="4"/>
  <c r="G168" i="4"/>
  <c r="F168" i="4"/>
  <c r="L167" i="4"/>
  <c r="K167" i="4"/>
  <c r="J167" i="4"/>
  <c r="H167" i="4"/>
  <c r="G167" i="4"/>
  <c r="F167" i="4"/>
  <c r="L166" i="4"/>
  <c r="K166" i="4"/>
  <c r="J166" i="4"/>
  <c r="H166" i="4"/>
  <c r="G166" i="4"/>
  <c r="F166" i="4"/>
  <c r="L165" i="4"/>
  <c r="K165" i="4"/>
  <c r="J165" i="4"/>
  <c r="H165" i="4"/>
  <c r="G165" i="4"/>
  <c r="F165" i="4"/>
  <c r="L164" i="4"/>
  <c r="K164" i="4"/>
  <c r="J164" i="4"/>
  <c r="H164" i="4"/>
  <c r="G164" i="4"/>
  <c r="F164" i="4"/>
  <c r="L163" i="4"/>
  <c r="K163" i="4"/>
  <c r="J163" i="4"/>
  <c r="H163" i="4"/>
  <c r="G163" i="4"/>
  <c r="F163" i="4"/>
  <c r="L162" i="4"/>
  <c r="K162" i="4"/>
  <c r="J162" i="4"/>
  <c r="H162" i="4"/>
  <c r="G162" i="4"/>
  <c r="F162" i="4"/>
  <c r="L161" i="4"/>
  <c r="K161" i="4"/>
  <c r="J161" i="4"/>
  <c r="H161" i="4"/>
  <c r="G161" i="4"/>
  <c r="F161" i="4"/>
  <c r="L160" i="4"/>
  <c r="K160" i="4"/>
  <c r="J160" i="4"/>
  <c r="H160" i="4"/>
  <c r="G160" i="4"/>
  <c r="F160" i="4"/>
  <c r="L159" i="4"/>
  <c r="K159" i="4"/>
  <c r="J159" i="4"/>
  <c r="H159" i="4"/>
  <c r="G159" i="4"/>
  <c r="F159" i="4"/>
  <c r="L158" i="4"/>
  <c r="K158" i="4"/>
  <c r="J158" i="4"/>
  <c r="H158" i="4"/>
  <c r="G158" i="4"/>
  <c r="F158" i="4"/>
  <c r="L157" i="4"/>
  <c r="K157" i="4"/>
  <c r="J157" i="4"/>
  <c r="H157" i="4"/>
  <c r="G157" i="4"/>
  <c r="F157" i="4"/>
  <c r="L156" i="4"/>
  <c r="K156" i="4"/>
  <c r="J156" i="4"/>
  <c r="H156" i="4"/>
  <c r="G156" i="4"/>
  <c r="F156" i="4"/>
  <c r="L155" i="4"/>
  <c r="K155" i="4"/>
  <c r="J155" i="4"/>
  <c r="H155" i="4"/>
  <c r="G155" i="4"/>
  <c r="F155" i="4"/>
  <c r="L154" i="4"/>
  <c r="K154" i="4"/>
  <c r="J154" i="4"/>
  <c r="H154" i="4"/>
  <c r="G154" i="4"/>
  <c r="F154" i="4"/>
  <c r="L153" i="4"/>
  <c r="K153" i="4"/>
  <c r="J153" i="4"/>
  <c r="H153" i="4"/>
  <c r="G153" i="4"/>
  <c r="F153" i="4"/>
  <c r="L152" i="4"/>
  <c r="K152" i="4"/>
  <c r="J152" i="4"/>
  <c r="H152" i="4"/>
  <c r="G152" i="4"/>
  <c r="F152" i="4"/>
  <c r="L151" i="4"/>
  <c r="K151" i="4"/>
  <c r="J151" i="4"/>
  <c r="H151" i="4"/>
  <c r="G151" i="4"/>
  <c r="F151" i="4"/>
  <c r="L150" i="4"/>
  <c r="K150" i="4"/>
  <c r="J150" i="4"/>
  <c r="H150" i="4"/>
  <c r="G150" i="4"/>
  <c r="F150" i="4"/>
  <c r="L149" i="4"/>
  <c r="K149" i="4"/>
  <c r="J149" i="4"/>
  <c r="H149" i="4"/>
  <c r="G149" i="4"/>
  <c r="F149" i="4"/>
  <c r="L148" i="4"/>
  <c r="K148" i="4"/>
  <c r="J148" i="4"/>
  <c r="H148" i="4"/>
  <c r="G148" i="4"/>
  <c r="F148" i="4"/>
  <c r="L147" i="4"/>
  <c r="K147" i="4"/>
  <c r="J147" i="4"/>
  <c r="H147" i="4"/>
  <c r="G147" i="4"/>
  <c r="F147" i="4"/>
  <c r="L146" i="4"/>
  <c r="K146" i="4"/>
  <c r="J146" i="4"/>
  <c r="H146" i="4"/>
  <c r="G146" i="4"/>
  <c r="F146" i="4"/>
  <c r="L145" i="4"/>
  <c r="K145" i="4"/>
  <c r="J145" i="4"/>
  <c r="H145" i="4"/>
  <c r="G145" i="4"/>
  <c r="F145" i="4"/>
  <c r="L144" i="4"/>
  <c r="K144" i="4"/>
  <c r="J144" i="4"/>
  <c r="H144" i="4"/>
  <c r="G144" i="4"/>
  <c r="F144" i="4"/>
  <c r="L143" i="4"/>
  <c r="K143" i="4"/>
  <c r="J143" i="4"/>
  <c r="H143" i="4"/>
  <c r="G143" i="4"/>
  <c r="F143" i="4"/>
  <c r="L142" i="4"/>
  <c r="K142" i="4"/>
  <c r="J142" i="4"/>
  <c r="H142" i="4"/>
  <c r="G142" i="4"/>
  <c r="F142" i="4"/>
  <c r="L141" i="4"/>
  <c r="K141" i="4"/>
  <c r="J141" i="4"/>
  <c r="H141" i="4"/>
  <c r="G141" i="4"/>
  <c r="F141" i="4"/>
  <c r="L140" i="4"/>
  <c r="K140" i="4"/>
  <c r="J140" i="4"/>
  <c r="H140" i="4"/>
  <c r="G140" i="4"/>
  <c r="F140" i="4"/>
  <c r="L139" i="4"/>
  <c r="K139" i="4"/>
  <c r="J139" i="4"/>
  <c r="H139" i="4"/>
  <c r="G139" i="4"/>
  <c r="F139" i="4"/>
  <c r="L138" i="4"/>
  <c r="K138" i="4"/>
  <c r="J138" i="4"/>
  <c r="H138" i="4"/>
  <c r="G138" i="4"/>
  <c r="F138" i="4"/>
  <c r="L137" i="4"/>
  <c r="K137" i="4"/>
  <c r="J137" i="4"/>
  <c r="H137" i="4"/>
  <c r="G137" i="4"/>
  <c r="F137" i="4"/>
  <c r="L136" i="4"/>
  <c r="K136" i="4"/>
  <c r="J136" i="4"/>
  <c r="H136" i="4"/>
  <c r="G136" i="4"/>
  <c r="F136" i="4"/>
  <c r="L135" i="4"/>
  <c r="K135" i="4"/>
  <c r="J135" i="4"/>
  <c r="H135" i="4"/>
  <c r="G135" i="4"/>
  <c r="F135" i="4"/>
  <c r="L134" i="4"/>
  <c r="K134" i="4"/>
  <c r="J134" i="4"/>
  <c r="H134" i="4"/>
  <c r="G134" i="4"/>
  <c r="F134" i="4"/>
  <c r="L133" i="4"/>
  <c r="K133" i="4"/>
  <c r="J133" i="4"/>
  <c r="H133" i="4"/>
  <c r="G133" i="4"/>
  <c r="F133" i="4"/>
  <c r="L132" i="4"/>
  <c r="K132" i="4"/>
  <c r="J132" i="4"/>
  <c r="H132" i="4"/>
  <c r="G132" i="4"/>
  <c r="F132" i="4"/>
  <c r="L131" i="4"/>
  <c r="K131" i="4"/>
  <c r="J131" i="4"/>
  <c r="H131" i="4"/>
  <c r="G131" i="4"/>
  <c r="F131" i="4"/>
  <c r="L130" i="4"/>
  <c r="K130" i="4"/>
  <c r="J130" i="4"/>
  <c r="H130" i="4"/>
  <c r="G130" i="4"/>
  <c r="F130" i="4"/>
  <c r="L129" i="4"/>
  <c r="K129" i="4"/>
  <c r="J129" i="4"/>
  <c r="H129" i="4"/>
  <c r="G129" i="4"/>
  <c r="F129" i="4"/>
  <c r="L128" i="4"/>
  <c r="K128" i="4"/>
  <c r="J128" i="4"/>
  <c r="H128" i="4"/>
  <c r="G128" i="4"/>
  <c r="F128" i="4"/>
  <c r="L127" i="4"/>
  <c r="K127" i="4"/>
  <c r="J127" i="4"/>
  <c r="H127" i="4"/>
  <c r="G127" i="4"/>
  <c r="F127" i="4"/>
  <c r="L126" i="4"/>
  <c r="K126" i="4"/>
  <c r="J126" i="4"/>
  <c r="H126" i="4"/>
  <c r="G126" i="4"/>
  <c r="F126" i="4"/>
  <c r="L125" i="4"/>
  <c r="K125" i="4"/>
  <c r="J125" i="4"/>
  <c r="H125" i="4"/>
  <c r="G125" i="4"/>
  <c r="F125" i="4"/>
  <c r="L124" i="4"/>
  <c r="K124" i="4"/>
  <c r="J124" i="4"/>
  <c r="H124" i="4"/>
  <c r="G124" i="4"/>
  <c r="F124" i="4"/>
  <c r="L123" i="4"/>
  <c r="K123" i="4"/>
  <c r="J123" i="4"/>
  <c r="H123" i="4"/>
  <c r="G123" i="4"/>
  <c r="F123" i="4"/>
  <c r="L122" i="4"/>
  <c r="K122" i="4"/>
  <c r="J122" i="4"/>
  <c r="H122" i="4"/>
  <c r="G122" i="4"/>
  <c r="F122" i="4"/>
  <c r="L121" i="4"/>
  <c r="K121" i="4"/>
  <c r="J121" i="4"/>
  <c r="H121" i="4"/>
  <c r="G121" i="4"/>
  <c r="F121" i="4"/>
  <c r="L120" i="4"/>
  <c r="K120" i="4"/>
  <c r="J120" i="4"/>
  <c r="H120" i="4"/>
  <c r="G120" i="4"/>
  <c r="F120" i="4"/>
  <c r="L119" i="4"/>
  <c r="K119" i="4"/>
  <c r="J119" i="4"/>
  <c r="H119" i="4"/>
  <c r="G119" i="4"/>
  <c r="F119" i="4"/>
  <c r="L118" i="4"/>
  <c r="K118" i="4"/>
  <c r="J118" i="4"/>
  <c r="H118" i="4"/>
  <c r="G118" i="4"/>
  <c r="F118" i="4"/>
  <c r="L117" i="4"/>
  <c r="K117" i="4"/>
  <c r="J117" i="4"/>
  <c r="H117" i="4"/>
  <c r="G117" i="4"/>
  <c r="F117" i="4"/>
  <c r="L116" i="4"/>
  <c r="K116" i="4"/>
  <c r="J116" i="4"/>
  <c r="H116" i="4"/>
  <c r="G116" i="4"/>
  <c r="F116" i="4"/>
  <c r="L115" i="4"/>
  <c r="K115" i="4"/>
  <c r="J115" i="4"/>
  <c r="H115" i="4"/>
  <c r="G115" i="4"/>
  <c r="F115" i="4"/>
  <c r="L114" i="4"/>
  <c r="K114" i="4"/>
  <c r="J114" i="4"/>
  <c r="H114" i="4"/>
  <c r="G114" i="4"/>
  <c r="F114" i="4"/>
  <c r="L113" i="4"/>
  <c r="K113" i="4"/>
  <c r="J113" i="4"/>
  <c r="H113" i="4"/>
  <c r="G113" i="4"/>
  <c r="F113" i="4"/>
  <c r="L112" i="4"/>
  <c r="K112" i="4"/>
  <c r="J112" i="4"/>
  <c r="H112" i="4"/>
  <c r="G112" i="4"/>
  <c r="F112" i="4"/>
  <c r="L111" i="4"/>
  <c r="K111" i="4"/>
  <c r="J111" i="4"/>
  <c r="H111" i="4"/>
  <c r="G111" i="4"/>
  <c r="F111" i="4"/>
  <c r="L110" i="4"/>
  <c r="K110" i="4"/>
  <c r="J110" i="4"/>
  <c r="H110" i="4"/>
  <c r="G110" i="4"/>
  <c r="F110" i="4"/>
  <c r="L109" i="4"/>
  <c r="K109" i="4"/>
  <c r="J109" i="4"/>
  <c r="H109" i="4"/>
  <c r="G109" i="4"/>
  <c r="F109" i="4"/>
  <c r="L108" i="4"/>
  <c r="K108" i="4"/>
  <c r="J108" i="4"/>
  <c r="H108" i="4"/>
  <c r="G108" i="4"/>
  <c r="F108" i="4"/>
  <c r="L107" i="4"/>
  <c r="K107" i="4"/>
  <c r="J107" i="4"/>
  <c r="H107" i="4"/>
  <c r="G107" i="4"/>
  <c r="F107" i="4"/>
  <c r="L106" i="4"/>
  <c r="K106" i="4"/>
  <c r="J106" i="4"/>
  <c r="H106" i="4"/>
  <c r="G106" i="4"/>
  <c r="F106" i="4"/>
  <c r="L105" i="4"/>
  <c r="K105" i="4"/>
  <c r="J105" i="4"/>
  <c r="H105" i="4"/>
  <c r="G105" i="4"/>
  <c r="F105" i="4"/>
  <c r="L104" i="4"/>
  <c r="K104" i="4"/>
  <c r="J104" i="4"/>
  <c r="H104" i="4"/>
  <c r="G104" i="4"/>
  <c r="F104" i="4"/>
  <c r="L103" i="4"/>
  <c r="K103" i="4"/>
  <c r="J103" i="4"/>
  <c r="H103" i="4"/>
  <c r="G103" i="4"/>
  <c r="F103" i="4"/>
  <c r="L102" i="4"/>
  <c r="K102" i="4"/>
  <c r="J102" i="4"/>
  <c r="H102" i="4"/>
  <c r="G102" i="4"/>
  <c r="F102" i="4"/>
  <c r="L101" i="4"/>
  <c r="K101" i="4"/>
  <c r="J101" i="4"/>
  <c r="H101" i="4"/>
  <c r="G101" i="4"/>
  <c r="F101" i="4"/>
  <c r="L100" i="4"/>
  <c r="K100" i="4"/>
  <c r="J100" i="4"/>
  <c r="H100" i="4"/>
  <c r="G100" i="4"/>
  <c r="F100" i="4"/>
  <c r="L99" i="4"/>
  <c r="K99" i="4"/>
  <c r="J99" i="4"/>
  <c r="H99" i="4"/>
  <c r="G99" i="4"/>
  <c r="F99" i="4"/>
  <c r="L98" i="4"/>
  <c r="K98" i="4"/>
  <c r="J98" i="4"/>
  <c r="H98" i="4"/>
  <c r="G98" i="4"/>
  <c r="F98" i="4"/>
  <c r="L97" i="4"/>
  <c r="K97" i="4"/>
  <c r="J97" i="4"/>
  <c r="H97" i="4"/>
  <c r="G97" i="4"/>
  <c r="F97" i="4"/>
  <c r="L96" i="4"/>
  <c r="K96" i="4"/>
  <c r="J96" i="4"/>
  <c r="H96" i="4"/>
  <c r="G96" i="4"/>
  <c r="F96" i="4"/>
  <c r="L95" i="4"/>
  <c r="K95" i="4"/>
  <c r="J95" i="4"/>
  <c r="H95" i="4"/>
  <c r="G95" i="4"/>
  <c r="F95" i="4"/>
  <c r="L94" i="4"/>
  <c r="K94" i="4"/>
  <c r="J94" i="4"/>
  <c r="H94" i="4"/>
  <c r="G94" i="4"/>
  <c r="F94" i="4"/>
  <c r="L93" i="4"/>
  <c r="K93" i="4"/>
  <c r="J93" i="4"/>
  <c r="H93" i="4"/>
  <c r="G93" i="4"/>
  <c r="F93" i="4"/>
  <c r="L92" i="4"/>
  <c r="K92" i="4"/>
  <c r="J92" i="4"/>
  <c r="H92" i="4"/>
  <c r="G92" i="4"/>
  <c r="F92" i="4"/>
  <c r="L91" i="4"/>
  <c r="K91" i="4"/>
  <c r="J91" i="4"/>
  <c r="H91" i="4"/>
  <c r="G91" i="4"/>
  <c r="F91" i="4"/>
  <c r="L90" i="4"/>
  <c r="K90" i="4"/>
  <c r="J90" i="4"/>
  <c r="H90" i="4"/>
  <c r="G90" i="4"/>
  <c r="F90" i="4"/>
  <c r="L89" i="4"/>
  <c r="K89" i="4"/>
  <c r="J89" i="4"/>
  <c r="H89" i="4"/>
  <c r="G89" i="4"/>
  <c r="F89" i="4"/>
  <c r="L88" i="4"/>
  <c r="K88" i="4"/>
  <c r="J88" i="4"/>
  <c r="H88" i="4"/>
  <c r="G88" i="4"/>
  <c r="F88" i="4"/>
  <c r="L87" i="4"/>
  <c r="K87" i="4"/>
  <c r="J87" i="4"/>
  <c r="H87" i="4"/>
  <c r="G87" i="4"/>
  <c r="F87" i="4"/>
  <c r="L86" i="4"/>
  <c r="K86" i="4"/>
  <c r="J86" i="4"/>
  <c r="H86" i="4"/>
  <c r="G86" i="4"/>
  <c r="F86" i="4"/>
  <c r="L85" i="4"/>
  <c r="K85" i="4"/>
  <c r="J85" i="4"/>
  <c r="H85" i="4"/>
  <c r="G85" i="4"/>
  <c r="F85" i="4"/>
  <c r="L84" i="4"/>
  <c r="K84" i="4"/>
  <c r="J84" i="4"/>
  <c r="H84" i="4"/>
  <c r="G84" i="4"/>
  <c r="F84" i="4"/>
  <c r="L83" i="4"/>
  <c r="K83" i="4"/>
  <c r="J83" i="4"/>
  <c r="H83" i="4"/>
  <c r="G83" i="4"/>
  <c r="F83" i="4"/>
  <c r="L82" i="4"/>
  <c r="K82" i="4"/>
  <c r="J82" i="4"/>
  <c r="H82" i="4"/>
  <c r="G82" i="4"/>
  <c r="F82" i="4"/>
  <c r="L81" i="4"/>
  <c r="K81" i="4"/>
  <c r="J81" i="4"/>
  <c r="H81" i="4"/>
  <c r="G81" i="4"/>
  <c r="F81" i="4"/>
  <c r="L80" i="4"/>
  <c r="K80" i="4"/>
  <c r="J80" i="4"/>
  <c r="H80" i="4"/>
  <c r="G80" i="4"/>
  <c r="F80" i="4"/>
  <c r="L79" i="4"/>
  <c r="K79" i="4"/>
  <c r="J79" i="4"/>
  <c r="H79" i="4"/>
  <c r="G79" i="4"/>
  <c r="F79" i="4"/>
  <c r="L78" i="4"/>
  <c r="K78" i="4"/>
  <c r="J78" i="4"/>
  <c r="H78" i="4"/>
  <c r="G78" i="4"/>
  <c r="F78" i="4"/>
  <c r="L77" i="4"/>
  <c r="K77" i="4"/>
  <c r="J77" i="4"/>
  <c r="H77" i="4"/>
  <c r="G77" i="4"/>
  <c r="F77" i="4"/>
  <c r="L76" i="4"/>
  <c r="K76" i="4"/>
  <c r="J76" i="4"/>
  <c r="H76" i="4"/>
  <c r="G76" i="4"/>
  <c r="F76" i="4"/>
  <c r="L75" i="4"/>
  <c r="K75" i="4"/>
  <c r="J75" i="4"/>
  <c r="H75" i="4"/>
  <c r="G75" i="4"/>
  <c r="F75" i="4"/>
  <c r="L74" i="4"/>
  <c r="K74" i="4"/>
  <c r="J74" i="4"/>
  <c r="H74" i="4"/>
  <c r="G74" i="4"/>
  <c r="F74" i="4"/>
  <c r="L73" i="4"/>
  <c r="K73" i="4"/>
  <c r="J73" i="4"/>
  <c r="H73" i="4"/>
  <c r="G73" i="4"/>
  <c r="F73" i="4"/>
  <c r="L72" i="4"/>
  <c r="K72" i="4"/>
  <c r="J72" i="4"/>
  <c r="H72" i="4"/>
  <c r="G72" i="4"/>
  <c r="F72" i="4"/>
  <c r="L71" i="4"/>
  <c r="K71" i="4"/>
  <c r="J71" i="4"/>
  <c r="H71" i="4"/>
  <c r="G71" i="4"/>
  <c r="F71" i="4"/>
  <c r="L70" i="4"/>
  <c r="K70" i="4"/>
  <c r="J70" i="4"/>
  <c r="H70" i="4"/>
  <c r="G70" i="4"/>
  <c r="F70" i="4"/>
  <c r="L69" i="4"/>
  <c r="K69" i="4"/>
  <c r="J69" i="4"/>
  <c r="H69" i="4"/>
  <c r="G69" i="4"/>
  <c r="F69" i="4"/>
  <c r="L68" i="4"/>
  <c r="K68" i="4"/>
  <c r="J68" i="4"/>
  <c r="H68" i="4"/>
  <c r="G68" i="4"/>
  <c r="F68" i="4"/>
  <c r="L67" i="4"/>
  <c r="K67" i="4"/>
  <c r="J67" i="4"/>
  <c r="H67" i="4"/>
  <c r="G67" i="4"/>
  <c r="F67" i="4"/>
  <c r="L66" i="4"/>
  <c r="K66" i="4"/>
  <c r="J66" i="4"/>
  <c r="H66" i="4"/>
  <c r="G66" i="4"/>
  <c r="F66" i="4"/>
  <c r="L65" i="4"/>
  <c r="K65" i="4"/>
  <c r="J65" i="4"/>
  <c r="H65" i="4"/>
  <c r="G65" i="4"/>
  <c r="F65" i="4"/>
  <c r="L64" i="4"/>
  <c r="K64" i="4"/>
  <c r="J64" i="4"/>
  <c r="H64" i="4"/>
  <c r="G64" i="4"/>
  <c r="F64" i="4"/>
  <c r="L63" i="4"/>
  <c r="K63" i="4"/>
  <c r="J63" i="4"/>
  <c r="H63" i="4"/>
  <c r="G63" i="4"/>
  <c r="F63" i="4"/>
  <c r="L62" i="4"/>
  <c r="K62" i="4"/>
  <c r="J62" i="4"/>
  <c r="H62" i="4"/>
  <c r="G62" i="4"/>
  <c r="F62" i="4"/>
  <c r="L61" i="4"/>
  <c r="K61" i="4"/>
  <c r="J61" i="4"/>
  <c r="H61" i="4"/>
  <c r="G61" i="4"/>
  <c r="F61" i="4"/>
  <c r="L60" i="4"/>
  <c r="K60" i="4"/>
  <c r="J60" i="4"/>
  <c r="H60" i="4"/>
  <c r="G60" i="4"/>
  <c r="F60" i="4"/>
  <c r="L59" i="4"/>
  <c r="K59" i="4"/>
  <c r="J59" i="4"/>
  <c r="H59" i="4"/>
  <c r="G59" i="4"/>
  <c r="F59" i="4"/>
  <c r="L58" i="4"/>
  <c r="K58" i="4"/>
  <c r="J58" i="4"/>
  <c r="H58" i="4"/>
  <c r="G58" i="4"/>
  <c r="F58" i="4"/>
  <c r="L57" i="4"/>
  <c r="K57" i="4"/>
  <c r="J57" i="4"/>
  <c r="H57" i="4"/>
  <c r="G57" i="4"/>
  <c r="F57" i="4"/>
  <c r="L56" i="4"/>
  <c r="K56" i="4"/>
  <c r="J56" i="4"/>
  <c r="H56" i="4"/>
  <c r="G56" i="4"/>
  <c r="F56" i="4"/>
  <c r="L55" i="4"/>
  <c r="K55" i="4"/>
  <c r="J55" i="4"/>
  <c r="H55" i="4"/>
  <c r="G55" i="4"/>
  <c r="F55" i="4"/>
  <c r="L54" i="4"/>
  <c r="K54" i="4"/>
  <c r="J54" i="4"/>
  <c r="H54" i="4"/>
  <c r="G54" i="4"/>
  <c r="F54" i="4"/>
  <c r="L53" i="4"/>
  <c r="K53" i="4"/>
  <c r="J53" i="4"/>
  <c r="H53" i="4"/>
  <c r="G53" i="4"/>
  <c r="F53" i="4"/>
  <c r="L52" i="4"/>
  <c r="K52" i="4"/>
  <c r="J52" i="4"/>
  <c r="H52" i="4"/>
  <c r="G52" i="4"/>
  <c r="F52" i="4"/>
  <c r="L51" i="4"/>
  <c r="K51" i="4"/>
  <c r="J51" i="4"/>
  <c r="H51" i="4"/>
  <c r="G51" i="4"/>
  <c r="F51" i="4"/>
  <c r="L50" i="4"/>
  <c r="K50" i="4"/>
  <c r="J50" i="4"/>
  <c r="H50" i="4"/>
  <c r="G50" i="4"/>
  <c r="F50" i="4"/>
  <c r="L49" i="4"/>
  <c r="K49" i="4"/>
  <c r="J49" i="4"/>
  <c r="H49" i="4"/>
  <c r="G49" i="4"/>
  <c r="F49" i="4"/>
  <c r="L48" i="4"/>
  <c r="K48" i="4"/>
  <c r="J48" i="4"/>
  <c r="H48" i="4"/>
  <c r="G48" i="4"/>
  <c r="F48" i="4"/>
  <c r="L47" i="4"/>
  <c r="K47" i="4"/>
  <c r="J47" i="4"/>
  <c r="H47" i="4"/>
  <c r="G47" i="4"/>
  <c r="F47" i="4"/>
  <c r="L46" i="4"/>
  <c r="K46" i="4"/>
  <c r="J46" i="4"/>
  <c r="H46" i="4"/>
  <c r="G46" i="4"/>
  <c r="F46" i="4"/>
  <c r="L45" i="4"/>
  <c r="K45" i="4"/>
  <c r="J45" i="4"/>
  <c r="H45" i="4"/>
  <c r="G45" i="4"/>
  <c r="F45" i="4"/>
  <c r="L44" i="4"/>
  <c r="K44" i="4"/>
  <c r="J44" i="4"/>
  <c r="H44" i="4"/>
  <c r="G44" i="4"/>
  <c r="F44" i="4"/>
  <c r="L43" i="4"/>
  <c r="K43" i="4"/>
  <c r="J43" i="4"/>
  <c r="H43" i="4"/>
  <c r="G43" i="4"/>
  <c r="F43" i="4"/>
  <c r="L42" i="4"/>
  <c r="K42" i="4"/>
  <c r="J42" i="4"/>
  <c r="H42" i="4"/>
  <c r="G42" i="4"/>
  <c r="F42" i="4"/>
  <c r="L41" i="4"/>
  <c r="K41" i="4"/>
  <c r="J41" i="4"/>
  <c r="H41" i="4"/>
  <c r="G41" i="4"/>
  <c r="F41" i="4"/>
  <c r="L40" i="4"/>
  <c r="K40" i="4"/>
  <c r="J40" i="4"/>
  <c r="H40" i="4"/>
  <c r="G40" i="4"/>
  <c r="F40" i="4"/>
  <c r="L39" i="4"/>
  <c r="K39" i="4"/>
  <c r="J39" i="4"/>
  <c r="H39" i="4"/>
  <c r="G39" i="4"/>
  <c r="F39" i="4"/>
  <c r="L38" i="4"/>
  <c r="K38" i="4"/>
  <c r="J38" i="4"/>
  <c r="H38" i="4"/>
  <c r="G38" i="4"/>
  <c r="F38" i="4"/>
  <c r="L37" i="4"/>
  <c r="K37" i="4"/>
  <c r="J37" i="4"/>
  <c r="H37" i="4"/>
  <c r="G37" i="4"/>
  <c r="F37" i="4"/>
  <c r="L36" i="4"/>
  <c r="K36" i="4"/>
  <c r="J36" i="4"/>
  <c r="H36" i="4"/>
  <c r="G36" i="4"/>
  <c r="F36" i="4"/>
  <c r="L35" i="4"/>
  <c r="K35" i="4"/>
  <c r="J35" i="4"/>
  <c r="H35" i="4"/>
  <c r="G35" i="4"/>
  <c r="F35" i="4"/>
  <c r="L34" i="4"/>
  <c r="K34" i="4"/>
  <c r="J34" i="4"/>
  <c r="H34" i="4"/>
  <c r="G34" i="4"/>
  <c r="F34" i="4"/>
  <c r="L33" i="4"/>
  <c r="K33" i="4"/>
  <c r="J33" i="4"/>
  <c r="H33" i="4"/>
  <c r="G33" i="4"/>
  <c r="F33" i="4"/>
  <c r="L32" i="4"/>
  <c r="K32" i="4"/>
  <c r="J32" i="4"/>
  <c r="H32" i="4"/>
  <c r="G32" i="4"/>
  <c r="F32" i="4"/>
  <c r="L31" i="4"/>
  <c r="K31" i="4"/>
  <c r="J31" i="4"/>
  <c r="H31" i="4"/>
  <c r="G31" i="4"/>
  <c r="F31" i="4"/>
  <c r="L30" i="4"/>
  <c r="K30" i="4"/>
  <c r="J30" i="4"/>
  <c r="H30" i="4"/>
  <c r="G30" i="4"/>
  <c r="F30" i="4"/>
  <c r="L29" i="4"/>
  <c r="K29" i="4"/>
  <c r="J29" i="4"/>
  <c r="H29" i="4"/>
  <c r="G29" i="4"/>
  <c r="F29" i="4"/>
  <c r="L28" i="4"/>
  <c r="K28" i="4"/>
  <c r="J28" i="4"/>
  <c r="H28" i="4"/>
  <c r="G28" i="4"/>
  <c r="F28" i="4"/>
  <c r="L27" i="4"/>
  <c r="K27" i="4"/>
  <c r="J27" i="4"/>
  <c r="H27" i="4"/>
  <c r="G27" i="4"/>
  <c r="F27" i="4"/>
  <c r="L26" i="4"/>
  <c r="K26" i="4"/>
  <c r="J26" i="4"/>
  <c r="H26" i="4"/>
  <c r="G26" i="4"/>
  <c r="F26" i="4"/>
  <c r="L25" i="4"/>
  <c r="K25" i="4"/>
  <c r="J25" i="4"/>
  <c r="H25" i="4"/>
  <c r="G25" i="4"/>
  <c r="F25" i="4"/>
  <c r="O24" i="4"/>
  <c r="L24" i="4"/>
  <c r="K24" i="4"/>
  <c r="J24" i="4"/>
  <c r="H24" i="4"/>
  <c r="G24" i="4"/>
  <c r="F24" i="4"/>
  <c r="L23" i="4"/>
  <c r="K23" i="4"/>
  <c r="J23" i="4"/>
  <c r="H23" i="4"/>
  <c r="G23" i="4"/>
  <c r="F23" i="4"/>
  <c r="L22" i="4"/>
  <c r="K22" i="4"/>
  <c r="J22" i="4"/>
  <c r="H22" i="4"/>
  <c r="G22" i="4"/>
  <c r="F22" i="4"/>
  <c r="O21" i="4"/>
  <c r="O22" i="4" s="1"/>
  <c r="L21" i="4"/>
  <c r="K21" i="4"/>
  <c r="J21" i="4"/>
  <c r="H21" i="4"/>
  <c r="G21" i="4"/>
  <c r="F21" i="4"/>
  <c r="O20" i="4"/>
  <c r="L20" i="4"/>
  <c r="K20" i="4"/>
  <c r="J20" i="4"/>
  <c r="H20" i="4"/>
  <c r="G20" i="4"/>
  <c r="F20" i="4"/>
  <c r="L19" i="4"/>
  <c r="K19" i="4"/>
  <c r="J19" i="4"/>
  <c r="H19" i="4"/>
  <c r="G19" i="4"/>
  <c r="F19" i="4"/>
  <c r="L18" i="4"/>
  <c r="K18" i="4"/>
  <c r="J18" i="4"/>
  <c r="H18" i="4"/>
  <c r="G18" i="4"/>
  <c r="F18" i="4"/>
  <c r="L17" i="4"/>
  <c r="K17" i="4"/>
  <c r="J17" i="4"/>
  <c r="H17" i="4"/>
  <c r="G17" i="4"/>
  <c r="F17" i="4"/>
  <c r="L16" i="4"/>
  <c r="K16" i="4"/>
  <c r="J16" i="4"/>
  <c r="H16" i="4"/>
  <c r="G16" i="4"/>
  <c r="F16" i="4"/>
  <c r="L15" i="4"/>
  <c r="K15" i="4"/>
  <c r="J15" i="4"/>
  <c r="H15" i="4"/>
  <c r="G15" i="4"/>
  <c r="F15" i="4"/>
  <c r="L14" i="4"/>
  <c r="K14" i="4"/>
  <c r="J14" i="4"/>
  <c r="H14" i="4"/>
  <c r="G14" i="4"/>
  <c r="F14" i="4"/>
  <c r="L13" i="4"/>
  <c r="K13" i="4"/>
  <c r="J13" i="4"/>
  <c r="H13" i="4"/>
  <c r="G13" i="4"/>
  <c r="F13" i="4"/>
  <c r="L12" i="4"/>
  <c r="K12" i="4"/>
  <c r="J12" i="4"/>
  <c r="H12" i="4"/>
  <c r="G12" i="4"/>
  <c r="F12" i="4"/>
  <c r="P11" i="4"/>
  <c r="O11" i="4"/>
  <c r="L11" i="4"/>
  <c r="K11" i="4"/>
  <c r="J11" i="4"/>
  <c r="H11" i="4"/>
  <c r="G11" i="4"/>
  <c r="F11" i="4"/>
  <c r="O10" i="4"/>
  <c r="L10" i="4"/>
  <c r="K10" i="4"/>
  <c r="J10" i="4"/>
  <c r="H10" i="4"/>
  <c r="G10" i="4"/>
  <c r="F10" i="4"/>
  <c r="L9" i="4"/>
  <c r="K9" i="4"/>
  <c r="J9" i="4"/>
  <c r="H9" i="4"/>
  <c r="G9" i="4"/>
  <c r="F9" i="4"/>
  <c r="L8" i="4"/>
  <c r="K8" i="4"/>
  <c r="J8" i="4"/>
  <c r="H8" i="4"/>
  <c r="G8" i="4"/>
  <c r="F8" i="4"/>
  <c r="P7" i="4"/>
  <c r="L7" i="4"/>
  <c r="K7" i="4"/>
  <c r="J7" i="4"/>
  <c r="H7" i="4"/>
  <c r="G7" i="4"/>
  <c r="F7" i="4"/>
  <c r="P6" i="4"/>
  <c r="P8" i="4" s="1"/>
  <c r="L6" i="4"/>
  <c r="K6" i="4"/>
  <c r="P10" i="4" s="1"/>
  <c r="J6" i="4"/>
  <c r="H6" i="4"/>
  <c r="G6" i="4"/>
  <c r="F6" i="4"/>
  <c r="L5" i="4"/>
  <c r="K5" i="4"/>
  <c r="J5" i="4"/>
  <c r="H5" i="4"/>
  <c r="G5" i="4"/>
  <c r="F5" i="4"/>
  <c r="L4" i="4"/>
  <c r="K4" i="4"/>
  <c r="J4" i="4"/>
  <c r="H4" i="4"/>
  <c r="G4" i="4"/>
  <c r="F4" i="4"/>
  <c r="L3" i="4"/>
  <c r="K3" i="4"/>
  <c r="J3" i="4"/>
  <c r="H3" i="4"/>
  <c r="G3" i="4"/>
  <c r="F3" i="4"/>
  <c r="L2" i="4"/>
  <c r="K2" i="4"/>
  <c r="P3" i="4" s="1"/>
  <c r="J2" i="4"/>
  <c r="O7" i="4" s="1"/>
  <c r="H2" i="4"/>
  <c r="G2" i="4"/>
  <c r="F2" i="4"/>
  <c r="O12" i="4" l="1"/>
  <c r="O13" i="4"/>
  <c r="O15" i="4" s="1"/>
  <c r="P12" i="4"/>
  <c r="P13" i="4"/>
  <c r="P15" i="4" s="1"/>
  <c r="O2" i="4"/>
  <c r="O3" i="4"/>
  <c r="O6" i="4"/>
  <c r="O8" i="4" s="1"/>
  <c r="P2" i="4"/>
  <c r="O18" i="4" l="1"/>
  <c r="O4" i="4"/>
  <c r="P18" i="4"/>
  <c r="P4" i="4"/>
  <c r="P25" i="4"/>
  <c r="O25" i="4"/>
  <c r="O17" i="4"/>
  <c r="P17" i="4"/>
</calcChain>
</file>

<file path=xl/sharedStrings.xml><?xml version="1.0" encoding="utf-8"?>
<sst xmlns="http://schemas.openxmlformats.org/spreadsheetml/2006/main" count="5312" uniqueCount="3301">
  <si>
    <t>Date</t>
  </si>
  <si>
    <t>Open</t>
  </si>
  <si>
    <t>High</t>
  </si>
  <si>
    <t>Low</t>
  </si>
  <si>
    <t>Close</t>
  </si>
  <si>
    <t>Adj Close</t>
  </si>
  <si>
    <t>Volume</t>
  </si>
  <si>
    <t>Mar 10, 2026</t>
  </si>
  <si>
    <t>25.51</t>
  </si>
  <si>
    <t>26.47</t>
  </si>
  <si>
    <t>26.25</t>
  </si>
  <si>
    <t>Malibu Boats, Inc. (MBUU)</t>
  </si>
  <si>
    <t>Mar 9, 2026</t>
  </si>
  <si>
    <t>25.13</t>
  </si>
  <si>
    <t>25.70</t>
  </si>
  <si>
    <t>25.67</t>
  </si>
  <si>
    <t>Mar 6, 2026</t>
  </si>
  <si>
    <t>27.00</t>
  </si>
  <si>
    <t>25.69</t>
  </si>
  <si>
    <t>25.77</t>
  </si>
  <si>
    <t>Mar 5, 2026</t>
  </si>
  <si>
    <t>27.52</t>
  </si>
  <si>
    <t>28.41</t>
  </si>
  <si>
    <t>27.16</t>
  </si>
  <si>
    <t>27.49</t>
  </si>
  <si>
    <t>Mar 4, 2026</t>
  </si>
  <si>
    <t>27.37</t>
  </si>
  <si>
    <t>28.47</t>
  </si>
  <si>
    <t>26.85</t>
  </si>
  <si>
    <t>27.94</t>
  </si>
  <si>
    <t>Mar 3, 2026</t>
  </si>
  <si>
    <t>26.74</t>
  </si>
  <si>
    <t>27.70</t>
  </si>
  <si>
    <t>26.41</t>
  </si>
  <si>
    <t>26.98</t>
  </si>
  <si>
    <t>Mar 2, 2026</t>
  </si>
  <si>
    <t>29.23</t>
  </si>
  <si>
    <t>Feb 27, 2026</t>
  </si>
  <si>
    <t>29.63</t>
  </si>
  <si>
    <t>29.76</t>
  </si>
  <si>
    <t>28.73</t>
  </si>
  <si>
    <t>Feb 26, 2026</t>
  </si>
  <si>
    <t>29.75</t>
  </si>
  <si>
    <t>30.22</t>
  </si>
  <si>
    <t>29.30</t>
  </si>
  <si>
    <t>30.18</t>
  </si>
  <si>
    <t>Feb 25, 2026</t>
  </si>
  <si>
    <t>31.04</t>
  </si>
  <si>
    <t>29.33</t>
  </si>
  <si>
    <t>29.70</t>
  </si>
  <si>
    <t>Feb 24, 2026</t>
  </si>
  <si>
    <t>30.62</t>
  </si>
  <si>
    <t>31.26</t>
  </si>
  <si>
    <t>30.73</t>
  </si>
  <si>
    <t>Feb 23, 2026</t>
  </si>
  <si>
    <t>31.37</t>
  </si>
  <si>
    <t>31.74</t>
  </si>
  <si>
    <t>29.99</t>
  </si>
  <si>
    <t>30.55</t>
  </si>
  <si>
    <t>Feb 20, 2026</t>
  </si>
  <si>
    <t>31.21</t>
  </si>
  <si>
    <t>32.31</t>
  </si>
  <si>
    <t>31.63</t>
  </si>
  <si>
    <t>Feb 19, 2026</t>
  </si>
  <si>
    <t>31.51</t>
  </si>
  <si>
    <t>31.57</t>
  </si>
  <si>
    <t>31.00</t>
  </si>
  <si>
    <t>31.40</t>
  </si>
  <si>
    <t>Feb 18, 2026</t>
  </si>
  <si>
    <t>31.29</t>
  </si>
  <si>
    <t>32.17</t>
  </si>
  <si>
    <t>31.02</t>
  </si>
  <si>
    <t>31.85</t>
  </si>
  <si>
    <t>Feb 17, 2026</t>
  </si>
  <si>
    <t>31.42</t>
  </si>
  <si>
    <t>31.80</t>
  </si>
  <si>
    <t>30.92</t>
  </si>
  <si>
    <t>31.52</t>
  </si>
  <si>
    <t>Feb 13, 2026</t>
  </si>
  <si>
    <t>30.80</t>
  </si>
  <si>
    <t>30.43</t>
  </si>
  <si>
    <t>Feb 12, 2026</t>
  </si>
  <si>
    <t>31.70</t>
  </si>
  <si>
    <t>32.05</t>
  </si>
  <si>
    <t>30.15</t>
  </si>
  <si>
    <t>30.54</t>
  </si>
  <si>
    <t>Feb 11, 2026</t>
  </si>
  <si>
    <t>31.31</t>
  </si>
  <si>
    <t>31.45</t>
  </si>
  <si>
    <t>30.84</t>
  </si>
  <si>
    <t>Feb 10, 2026</t>
  </si>
  <si>
    <t>31.25</t>
  </si>
  <si>
    <t>31.65</t>
  </si>
  <si>
    <t>30.60</t>
  </si>
  <si>
    <t>Feb 9, 2026</t>
  </si>
  <si>
    <t>31.09</t>
  </si>
  <si>
    <t>31.87</t>
  </si>
  <si>
    <t>30.51</t>
  </si>
  <si>
    <t>Feb 6, 2026</t>
  </si>
  <si>
    <t>30.76</t>
  </si>
  <si>
    <t>30.45</t>
  </si>
  <si>
    <t>31.24</t>
  </si>
  <si>
    <t>Feb 5, 2026</t>
  </si>
  <si>
    <t>33.13</t>
  </si>
  <si>
    <t>29.60</t>
  </si>
  <si>
    <t>30.71</t>
  </si>
  <si>
    <t>Feb 4, 2026</t>
  </si>
  <si>
    <t>34.24</t>
  </si>
  <si>
    <t>34.97</t>
  </si>
  <si>
    <t>33.78</t>
  </si>
  <si>
    <t>34.61</t>
  </si>
  <si>
    <t>Feb 3, 2026</t>
  </si>
  <si>
    <t>32.70</t>
  </si>
  <si>
    <t>32.13</t>
  </si>
  <si>
    <t>34.05</t>
  </si>
  <si>
    <t>Feb 2, 2026</t>
  </si>
  <si>
    <t>32.41</t>
  </si>
  <si>
    <t>33.12</t>
  </si>
  <si>
    <t>32.83</t>
  </si>
  <si>
    <t>Jan 30, 2026</t>
  </si>
  <si>
    <t>31.79</t>
  </si>
  <si>
    <t>33.37</t>
  </si>
  <si>
    <t>32.50</t>
  </si>
  <si>
    <t>Jan 29, 2026</t>
  </si>
  <si>
    <t>32.49</t>
  </si>
  <si>
    <t>32.23</t>
  </si>
  <si>
    <t>Jan 28, 2026</t>
  </si>
  <si>
    <t>32.39</t>
  </si>
  <si>
    <t>32.52</t>
  </si>
  <si>
    <t>31.68</t>
  </si>
  <si>
    <t>31.88</t>
  </si>
  <si>
    <t>Jan 27, 2026</t>
  </si>
  <si>
    <t>32.56</t>
  </si>
  <si>
    <t>32.71</t>
  </si>
  <si>
    <t>31.94</t>
  </si>
  <si>
    <t>Jan 26, 2026</t>
  </si>
  <si>
    <t>33.46</t>
  </si>
  <si>
    <t>32.37</t>
  </si>
  <si>
    <t>32.96</t>
  </si>
  <si>
    <t>Jan 23, 2026</t>
  </si>
  <si>
    <t>33.79</t>
  </si>
  <si>
    <t>34.01</t>
  </si>
  <si>
    <t>32.77</t>
  </si>
  <si>
    <t>32.79</t>
  </si>
  <si>
    <t>Jan 22, 2026</t>
  </si>
  <si>
    <t>33.75</t>
  </si>
  <si>
    <t>34.69</t>
  </si>
  <si>
    <t>33.63</t>
  </si>
  <si>
    <t>34.04</t>
  </si>
  <si>
    <t>Jan 21, 2026</t>
  </si>
  <si>
    <t>32.58</t>
  </si>
  <si>
    <t>33.83</t>
  </si>
  <si>
    <t>32.42</t>
  </si>
  <si>
    <t>33.68</t>
  </si>
  <si>
    <t>Jan 20, 2026</t>
  </si>
  <si>
    <t>32.69</t>
  </si>
  <si>
    <t>33.20</t>
  </si>
  <si>
    <t>31.77</t>
  </si>
  <si>
    <t>32.15</t>
  </si>
  <si>
    <t>Jan 16, 2026</t>
  </si>
  <si>
    <t>33.98</t>
  </si>
  <si>
    <t>34.08</t>
  </si>
  <si>
    <t>33.47</t>
  </si>
  <si>
    <t>33.60</t>
  </si>
  <si>
    <t>Jan 15, 2026</t>
  </si>
  <si>
    <t>33.33</t>
  </si>
  <si>
    <t>34.44</t>
  </si>
  <si>
    <t>33.06</t>
  </si>
  <si>
    <t>Jan 14, 2026</t>
  </si>
  <si>
    <t>32.72</t>
  </si>
  <si>
    <t>33.53</t>
  </si>
  <si>
    <t>33.25</t>
  </si>
  <si>
    <t>Jan 13, 2026</t>
  </si>
  <si>
    <t>32.67</t>
  </si>
  <si>
    <t>33.15</t>
  </si>
  <si>
    <t>32.53</t>
  </si>
  <si>
    <t>32.87</t>
  </si>
  <si>
    <t>Jan 12, 2026</t>
  </si>
  <si>
    <t>32.38</t>
  </si>
  <si>
    <t>33.17</t>
  </si>
  <si>
    <t>31.39</t>
  </si>
  <si>
    <t>Jan 9, 2026</t>
  </si>
  <si>
    <t>32.06</t>
  </si>
  <si>
    <t>33.00</t>
  </si>
  <si>
    <t>32.00</t>
  </si>
  <si>
    <t>32.78</t>
  </si>
  <si>
    <t>Jan 8, 2026</t>
  </si>
  <si>
    <t>30.75</t>
  </si>
  <si>
    <t>30.74</t>
  </si>
  <si>
    <t>Jan 7, 2026</t>
  </si>
  <si>
    <t>30.77</t>
  </si>
  <si>
    <t>31.27</t>
  </si>
  <si>
    <t>30.32</t>
  </si>
  <si>
    <t>Jan 6, 2026</t>
  </si>
  <si>
    <t>29.31</t>
  </si>
  <si>
    <t>30.85</t>
  </si>
  <si>
    <t>Jan 5, 2026</t>
  </si>
  <si>
    <t>28.55</t>
  </si>
  <si>
    <t>29.54</t>
  </si>
  <si>
    <t>Jan 2, 2026</t>
  </si>
  <si>
    <t>28.36</t>
  </si>
  <si>
    <t>28.69</t>
  </si>
  <si>
    <t>28.61</t>
  </si>
  <si>
    <t>Dec 31, 2025</t>
  </si>
  <si>
    <t>28.44</t>
  </si>
  <si>
    <t>28.51</t>
  </si>
  <si>
    <t>27.81</t>
  </si>
  <si>
    <t>28.21</t>
  </si>
  <si>
    <t>Dec 30, 2025</t>
  </si>
  <si>
    <t>28.91</t>
  </si>
  <si>
    <t>28.57</t>
  </si>
  <si>
    <t>Dec 29, 2025</t>
  </si>
  <si>
    <t>29.51</t>
  </si>
  <si>
    <t>28.75</t>
  </si>
  <si>
    <t>28.95</t>
  </si>
  <si>
    <t>Dec 26, 2025</t>
  </si>
  <si>
    <t>29.46</t>
  </si>
  <si>
    <t>Dec 24, 2025</t>
  </si>
  <si>
    <t>29.36</t>
  </si>
  <si>
    <t>29.72</t>
  </si>
  <si>
    <t>29.00</t>
  </si>
  <si>
    <t>Dec 23, 2025</t>
  </si>
  <si>
    <t>29.15</t>
  </si>
  <si>
    <t>29.84</t>
  </si>
  <si>
    <t>29.16</t>
  </si>
  <si>
    <t>Dec 22, 2025</t>
  </si>
  <si>
    <t>29.38</t>
  </si>
  <si>
    <t>29.65</t>
  </si>
  <si>
    <t>28.85</t>
  </si>
  <si>
    <t>28.93</t>
  </si>
  <si>
    <t>Dec 19, 2025</t>
  </si>
  <si>
    <t>30.57</t>
  </si>
  <si>
    <t>30.88</t>
  </si>
  <si>
    <t>29.35</t>
  </si>
  <si>
    <t>29.42</t>
  </si>
  <si>
    <t>Dec 18, 2025</t>
  </si>
  <si>
    <t>29.64</t>
  </si>
  <si>
    <t>Dec 17, 2025</t>
  </si>
  <si>
    <t>29.69</t>
  </si>
  <si>
    <t>30.00</t>
  </si>
  <si>
    <t>28.96</t>
  </si>
  <si>
    <t>29.14</t>
  </si>
  <si>
    <t>Dec 16, 2025</t>
  </si>
  <si>
    <t>29.53</t>
  </si>
  <si>
    <t>28.76</t>
  </si>
  <si>
    <t>28.84</t>
  </si>
  <si>
    <t>Dec 15, 2025</t>
  </si>
  <si>
    <t>29.82</t>
  </si>
  <si>
    <t>29.93</t>
  </si>
  <si>
    <t>29.49</t>
  </si>
  <si>
    <t>Dec 12, 2025</t>
  </si>
  <si>
    <t>29.56</t>
  </si>
  <si>
    <t>Dec 11, 2025</t>
  </si>
  <si>
    <t>30.41</t>
  </si>
  <si>
    <t>29.87</t>
  </si>
  <si>
    <t>Dec 10, 2025</t>
  </si>
  <si>
    <t>29.22</t>
  </si>
  <si>
    <t>30.35</t>
  </si>
  <si>
    <t>29.98</t>
  </si>
  <si>
    <t>Dec 9, 2025</t>
  </si>
  <si>
    <t>29.24</t>
  </si>
  <si>
    <t>29.91</t>
  </si>
  <si>
    <t>28.81</t>
  </si>
  <si>
    <t>29.26</t>
  </si>
  <si>
    <t>Dec 8, 2025</t>
  </si>
  <si>
    <t>28.70</t>
  </si>
  <si>
    <t>29.39</t>
  </si>
  <si>
    <t>28.38</t>
  </si>
  <si>
    <t>Dec 5, 2025</t>
  </si>
  <si>
    <t>27.50</t>
  </si>
  <si>
    <t>28.89</t>
  </si>
  <si>
    <t>27.48</t>
  </si>
  <si>
    <t>28.56</t>
  </si>
  <si>
    <t>Dec 4, 2025</t>
  </si>
  <si>
    <t>27.14</t>
  </si>
  <si>
    <t>28.23</t>
  </si>
  <si>
    <t>27.59</t>
  </si>
  <si>
    <t>Dec 3, 2025</t>
  </si>
  <si>
    <t>28.53</t>
  </si>
  <si>
    <t>28.98</t>
  </si>
  <si>
    <t>27.15</t>
  </si>
  <si>
    <t>Dec 2, 2025</t>
  </si>
  <si>
    <t>28.64</t>
  </si>
  <si>
    <t>28.25</t>
  </si>
  <si>
    <t>Dec 1, 2025</t>
  </si>
  <si>
    <t>27.97</t>
  </si>
  <si>
    <t>29.13</t>
  </si>
  <si>
    <t>27.60</t>
  </si>
  <si>
    <t>28.59</t>
  </si>
  <si>
    <t>Nov 28, 2025</t>
  </si>
  <si>
    <t>28.72</t>
  </si>
  <si>
    <t>28.15</t>
  </si>
  <si>
    <t>28.39</t>
  </si>
  <si>
    <t>Nov 26, 2025</t>
  </si>
  <si>
    <t>27.88</t>
  </si>
  <si>
    <t>27.86</t>
  </si>
  <si>
    <t>Nov 25, 2025</t>
  </si>
  <si>
    <t>27.17</t>
  </si>
  <si>
    <t>28.88</t>
  </si>
  <si>
    <t>28.18</t>
  </si>
  <si>
    <t>Nov 24, 2025</t>
  </si>
  <si>
    <t>26.45</t>
  </si>
  <si>
    <t>27.40</t>
  </si>
  <si>
    <t>Nov 21, 2025</t>
  </si>
  <si>
    <t>24.96</t>
  </si>
  <si>
    <t>27.34</t>
  </si>
  <si>
    <t>26.59</t>
  </si>
  <si>
    <t>Nov 20, 2025</t>
  </si>
  <si>
    <t>24.86</t>
  </si>
  <si>
    <t>25.43</t>
  </si>
  <si>
    <t>24.63</t>
  </si>
  <si>
    <t>24.82</t>
  </si>
  <si>
    <t>Nov 19, 2025</t>
  </si>
  <si>
    <t>24.78</t>
  </si>
  <si>
    <t>24.43</t>
  </si>
  <si>
    <t>24.49</t>
  </si>
  <si>
    <t>Nov 18, 2025</t>
  </si>
  <si>
    <t>24.14</t>
  </si>
  <si>
    <t>25.32</t>
  </si>
  <si>
    <t>24.73</t>
  </si>
  <si>
    <t>Nov 17, 2025</t>
  </si>
  <si>
    <t>25.30</t>
  </si>
  <si>
    <t>24.21</t>
  </si>
  <si>
    <t>Nov 14, 2025</t>
  </si>
  <si>
    <t>25.37</t>
  </si>
  <si>
    <t>25.64</t>
  </si>
  <si>
    <t>25.00</t>
  </si>
  <si>
    <t>25.42</t>
  </si>
  <si>
    <t>Nov 13, 2025</t>
  </si>
  <si>
    <t>26.28</t>
  </si>
  <si>
    <t>26.86</t>
  </si>
  <si>
    <t>25.25</t>
  </si>
  <si>
    <t>25.45</t>
  </si>
  <si>
    <t>Nov 12, 2025</t>
  </si>
  <si>
    <t>25.95</t>
  </si>
  <si>
    <t>26.75</t>
  </si>
  <si>
    <t>25.86</t>
  </si>
  <si>
    <t>26.54</t>
  </si>
  <si>
    <t>Nov 11, 2025</t>
  </si>
  <si>
    <t>25.55</t>
  </si>
  <si>
    <t>25.79</t>
  </si>
  <si>
    <t>Nov 10, 2025</t>
  </si>
  <si>
    <t>26.56</t>
  </si>
  <si>
    <t>26.70</t>
  </si>
  <si>
    <t>Nov 7, 2025</t>
  </si>
  <si>
    <t>26.94</t>
  </si>
  <si>
    <t>27.36</t>
  </si>
  <si>
    <t>26.24</t>
  </si>
  <si>
    <t>26.30</t>
  </si>
  <si>
    <t>Nov 6, 2025</t>
  </si>
  <si>
    <t>27.54</t>
  </si>
  <si>
    <t>26.77</t>
  </si>
  <si>
    <t>26.92</t>
  </si>
  <si>
    <t>Nov 5, 2025</t>
  </si>
  <si>
    <t>27.27</t>
  </si>
  <si>
    <t>28.20</t>
  </si>
  <si>
    <t>27.82</t>
  </si>
  <si>
    <t>Nov 4, 2025</t>
  </si>
  <si>
    <t>27.29</t>
  </si>
  <si>
    <t>Nov 3, 2025</t>
  </si>
  <si>
    <t>27.55</t>
  </si>
  <si>
    <t>28.35</t>
  </si>
  <si>
    <t>26.61</t>
  </si>
  <si>
    <t>Oct 31, 2025</t>
  </si>
  <si>
    <t>27.72</t>
  </si>
  <si>
    <t>27.87</t>
  </si>
  <si>
    <t>Oct 30, 2025</t>
  </si>
  <si>
    <t>32.98</t>
  </si>
  <si>
    <t>34.12</t>
  </si>
  <si>
    <t>Oct 29, 2025</t>
  </si>
  <si>
    <t>33.65</t>
  </si>
  <si>
    <t>32.03</t>
  </si>
  <si>
    <t>32.57</t>
  </si>
  <si>
    <t>Oct 28, 2025</t>
  </si>
  <si>
    <t>33.94</t>
  </si>
  <si>
    <t>33.21</t>
  </si>
  <si>
    <t>33.36</t>
  </si>
  <si>
    <t>Oct 27, 2025</t>
  </si>
  <si>
    <t>34.58</t>
  </si>
  <si>
    <t>34.83</t>
  </si>
  <si>
    <t>33.50</t>
  </si>
  <si>
    <t>33.82</t>
  </si>
  <si>
    <t>Oct 24, 2025</t>
  </si>
  <si>
    <t>34.13</t>
  </si>
  <si>
    <t>33.92</t>
  </si>
  <si>
    <t>34.52</t>
  </si>
  <si>
    <t>Oct 23, 2025</t>
  </si>
  <si>
    <t>32.73</t>
  </si>
  <si>
    <t>34.33</t>
  </si>
  <si>
    <t>32.54</t>
  </si>
  <si>
    <t>Oct 22, 2025</t>
  </si>
  <si>
    <t>32.20</t>
  </si>
  <si>
    <t>33.14</t>
  </si>
  <si>
    <t>31.99</t>
  </si>
  <si>
    <t>32.74</t>
  </si>
  <si>
    <t>Oct 21, 2025</t>
  </si>
  <si>
    <t>30.86</t>
  </si>
  <si>
    <t>Oct 20, 2025</t>
  </si>
  <si>
    <t>31.17</t>
  </si>
  <si>
    <t>Oct 17, 2025</t>
  </si>
  <si>
    <t>30.28</t>
  </si>
  <si>
    <t>30.63</t>
  </si>
  <si>
    <t>30.25</t>
  </si>
  <si>
    <t>Oct 16, 2025</t>
  </si>
  <si>
    <t>30.50</t>
  </si>
  <si>
    <t>30.67</t>
  </si>
  <si>
    <t>30.29</t>
  </si>
  <si>
    <t>Oct 15, 2025</t>
  </si>
  <si>
    <t>31.06</t>
  </si>
  <si>
    <t>Oct 14, 2025</t>
  </si>
  <si>
    <t>30.53</t>
  </si>
  <si>
    <t>Oct 13, 2025</t>
  </si>
  <si>
    <t>29.50</t>
  </si>
  <si>
    <t>29.29</t>
  </si>
  <si>
    <t>Oct 10, 2025</t>
  </si>
  <si>
    <t>29.96</t>
  </si>
  <si>
    <t>30.14</t>
  </si>
  <si>
    <t>28.40</t>
  </si>
  <si>
    <t>28.71</t>
  </si>
  <si>
    <t>Oct 9, 2025</t>
  </si>
  <si>
    <t>29.45</t>
  </si>
  <si>
    <t>Oct 8, 2025</t>
  </si>
  <si>
    <t>30.20</t>
  </si>
  <si>
    <t>30.19</t>
  </si>
  <si>
    <t>Oct 7, 2025</t>
  </si>
  <si>
    <t>30.72</t>
  </si>
  <si>
    <t>29.83</t>
  </si>
  <si>
    <t>Oct 6, 2025</t>
  </si>
  <si>
    <t>32.51</t>
  </si>
  <si>
    <t>Oct 3, 2025</t>
  </si>
  <si>
    <t>32.30</t>
  </si>
  <si>
    <t>33.18</t>
  </si>
  <si>
    <t>32.36</t>
  </si>
  <si>
    <t>Oct 2, 2025</t>
  </si>
  <si>
    <t>33.24</t>
  </si>
  <si>
    <t>32.25</t>
  </si>
  <si>
    <t>32.27</t>
  </si>
  <si>
    <t>Oct 1, 2025</t>
  </si>
  <si>
    <t>33.07</t>
  </si>
  <si>
    <t>32.10</t>
  </si>
  <si>
    <t>32.92</t>
  </si>
  <si>
    <t>Sep 30, 2025</t>
  </si>
  <si>
    <t>32.44</t>
  </si>
  <si>
    <t>32.45</t>
  </si>
  <si>
    <t>Sep 29, 2025</t>
  </si>
  <si>
    <t>32.40</t>
  </si>
  <si>
    <t>Sep 26, 2025</t>
  </si>
  <si>
    <t>32.28</t>
  </si>
  <si>
    <t>33.77</t>
  </si>
  <si>
    <t>33.34</t>
  </si>
  <si>
    <t>Sep 25, 2025</t>
  </si>
  <si>
    <t>31.53</t>
  </si>
  <si>
    <t>32.16</t>
  </si>
  <si>
    <t>Sep 24, 2025</t>
  </si>
  <si>
    <t>32.08</t>
  </si>
  <si>
    <t>Sep 23, 2025</t>
  </si>
  <si>
    <t>32.82</t>
  </si>
  <si>
    <t>31.91</t>
  </si>
  <si>
    <t>Sep 22, 2025</t>
  </si>
  <si>
    <t>31.95</t>
  </si>
  <si>
    <t>Sep 19, 2025</t>
  </si>
  <si>
    <t>33.16</t>
  </si>
  <si>
    <t>Sep 18, 2025</t>
  </si>
  <si>
    <t>33.54</t>
  </si>
  <si>
    <t>33.38</t>
  </si>
  <si>
    <t>Sep 17, 2025</t>
  </si>
  <si>
    <t>35.06</t>
  </si>
  <si>
    <t>33.26</t>
  </si>
  <si>
    <t>Sep 16, 2025</t>
  </si>
  <si>
    <t>33.35</t>
  </si>
  <si>
    <t>33.11</t>
  </si>
  <si>
    <t>Sep 15, 2025</t>
  </si>
  <si>
    <t>33.08</t>
  </si>
  <si>
    <t>33.45</t>
  </si>
  <si>
    <t>33.30</t>
  </si>
  <si>
    <t>Sep 12, 2025</t>
  </si>
  <si>
    <t>33.66</t>
  </si>
  <si>
    <t>32.63</t>
  </si>
  <si>
    <t>32.66</t>
  </si>
  <si>
    <t>Sep 11, 2025</t>
  </si>
  <si>
    <t>32.19</t>
  </si>
  <si>
    <t>33.95</t>
  </si>
  <si>
    <t>33.86</t>
  </si>
  <si>
    <t>Sep 10, 2025</t>
  </si>
  <si>
    <t>32.60</t>
  </si>
  <si>
    <t>31.35</t>
  </si>
  <si>
    <t>Sep 9, 2025</t>
  </si>
  <si>
    <t>32.99</t>
  </si>
  <si>
    <t>31.97</t>
  </si>
  <si>
    <t>Sep 8, 2025</t>
  </si>
  <si>
    <t>33.44</t>
  </si>
  <si>
    <t>33.03</t>
  </si>
  <si>
    <t>Sep 5, 2025</t>
  </si>
  <si>
    <t>34.00</t>
  </si>
  <si>
    <t>33.10</t>
  </si>
  <si>
    <t>Sep 4, 2025</t>
  </si>
  <si>
    <t>31.76</t>
  </si>
  <si>
    <t>31.58</t>
  </si>
  <si>
    <t>Sep 3, 2025</t>
  </si>
  <si>
    <t>31.34</t>
  </si>
  <si>
    <t>Sep 2, 2025</t>
  </si>
  <si>
    <t>32.48</t>
  </si>
  <si>
    <t>32.86</t>
  </si>
  <si>
    <t>32.24</t>
  </si>
  <si>
    <t>Aug 29, 2025</t>
  </si>
  <si>
    <t>32.76</t>
  </si>
  <si>
    <t>Aug 28, 2025</t>
  </si>
  <si>
    <t>30.95</t>
  </si>
  <si>
    <t>34.56</t>
  </si>
  <si>
    <t>32.80</t>
  </si>
  <si>
    <t>Aug 27, 2025</t>
  </si>
  <si>
    <t>38.35</t>
  </si>
  <si>
    <t>39.65</t>
  </si>
  <si>
    <t>39.52</t>
  </si>
  <si>
    <t>Aug 26, 2025</t>
  </si>
  <si>
    <t>39.00</t>
  </si>
  <si>
    <t>39.40</t>
  </si>
  <si>
    <t>38.16</t>
  </si>
  <si>
    <t>38.29</t>
  </si>
  <si>
    <t>Aug 25, 2025</t>
  </si>
  <si>
    <t>38.78</t>
  </si>
  <si>
    <t>39.31</t>
  </si>
  <si>
    <t>39.03</t>
  </si>
  <si>
    <t>Aug 22, 2025</t>
  </si>
  <si>
    <t>36.43</t>
  </si>
  <si>
    <t>39.43</t>
  </si>
  <si>
    <t>36.15</t>
  </si>
  <si>
    <t>39.19</t>
  </si>
  <si>
    <t>Aug 21, 2025</t>
  </si>
  <si>
    <t>35.72</t>
  </si>
  <si>
    <t>36.31</t>
  </si>
  <si>
    <t>35.14</t>
  </si>
  <si>
    <t>35.94</t>
  </si>
  <si>
    <t>Aug 20, 2025</t>
  </si>
  <si>
    <t>36.74</t>
  </si>
  <si>
    <t>37.05</t>
  </si>
  <si>
    <t>36.13</t>
  </si>
  <si>
    <t>36.16</t>
  </si>
  <si>
    <t>Aug 19, 2025</t>
  </si>
  <si>
    <t>36.35</t>
  </si>
  <si>
    <t>36.91</t>
  </si>
  <si>
    <t>36.22</t>
  </si>
  <si>
    <t>36.63</t>
  </si>
  <si>
    <t>Aug 18, 2025</t>
  </si>
  <si>
    <t>36.39</t>
  </si>
  <si>
    <t>36.62</t>
  </si>
  <si>
    <t>35.97</t>
  </si>
  <si>
    <t>36.12</t>
  </si>
  <si>
    <t>Aug 15, 2025</t>
  </si>
  <si>
    <t>36.94</t>
  </si>
  <si>
    <t>36.97</t>
  </si>
  <si>
    <t>36.18</t>
  </si>
  <si>
    <t>36.34</t>
  </si>
  <si>
    <t>Aug 14, 2025</t>
  </si>
  <si>
    <t>36.23</t>
  </si>
  <si>
    <t>35.67</t>
  </si>
  <si>
    <t>36.48</t>
  </si>
  <si>
    <t>Aug 13, 2025</t>
  </si>
  <si>
    <t>35.80</t>
  </si>
  <si>
    <t>37.13</t>
  </si>
  <si>
    <t>35.57</t>
  </si>
  <si>
    <t>36.96</t>
  </si>
  <si>
    <t>Aug 12, 2025</t>
  </si>
  <si>
    <t>35.50</t>
  </si>
  <si>
    <t>35.40</t>
  </si>
  <si>
    <t>Aug 11, 2025</t>
  </si>
  <si>
    <t>31.83</t>
  </si>
  <si>
    <t>31.47</t>
  </si>
  <si>
    <t>32.33</t>
  </si>
  <si>
    <t>Aug 8, 2025</t>
  </si>
  <si>
    <t>31.69</t>
  </si>
  <si>
    <t>31.90</t>
  </si>
  <si>
    <t>Aug 7, 2025</t>
  </si>
  <si>
    <t>33.64</t>
  </si>
  <si>
    <t>32.26</t>
  </si>
  <si>
    <t>Aug 6, 2025</t>
  </si>
  <si>
    <t>Aug 5, 2025</t>
  </si>
  <si>
    <t>33.55</t>
  </si>
  <si>
    <t>33.01</t>
  </si>
  <si>
    <t>Aug 4, 2025</t>
  </si>
  <si>
    <t>33.51</t>
  </si>
  <si>
    <t>33.27</t>
  </si>
  <si>
    <t>Aug 1, 2025</t>
  </si>
  <si>
    <t>31.71</t>
  </si>
  <si>
    <t>32.43</t>
  </si>
  <si>
    <t>Jul 31, 2025</t>
  </si>
  <si>
    <t>33.90</t>
  </si>
  <si>
    <t>33.31</t>
  </si>
  <si>
    <t>Jul 30, 2025</t>
  </si>
  <si>
    <t>35.32</t>
  </si>
  <si>
    <t>33.70</t>
  </si>
  <si>
    <t>33.97</t>
  </si>
  <si>
    <t>Jul 29, 2025</t>
  </si>
  <si>
    <t>35.76</t>
  </si>
  <si>
    <t>34.68</t>
  </si>
  <si>
    <t>35.34</t>
  </si>
  <si>
    <t>Jul 28, 2025</t>
  </si>
  <si>
    <t>35.51</t>
  </si>
  <si>
    <t>36.04</t>
  </si>
  <si>
    <t>35.04</t>
  </si>
  <si>
    <t>Jul 25, 2025</t>
  </si>
  <si>
    <t>35.58</t>
  </si>
  <si>
    <t>35.75</t>
  </si>
  <si>
    <t>34.47</t>
  </si>
  <si>
    <t>35.22</t>
  </si>
  <si>
    <t>Jul 24, 2025</t>
  </si>
  <si>
    <t>36.14</t>
  </si>
  <si>
    <t>34.34</t>
  </si>
  <si>
    <t>35.27</t>
  </si>
  <si>
    <t>Jul 23, 2025</t>
  </si>
  <si>
    <t>36.53</t>
  </si>
  <si>
    <t>37.37</t>
  </si>
  <si>
    <t>36.87</t>
  </si>
  <si>
    <t>Jul 22, 2025</t>
  </si>
  <si>
    <t>33.43</t>
  </si>
  <si>
    <t>36.19</t>
  </si>
  <si>
    <t>35.90</t>
  </si>
  <si>
    <t>Jul 21, 2025</t>
  </si>
  <si>
    <t>33.23</t>
  </si>
  <si>
    <t>33.81</t>
  </si>
  <si>
    <t>Jul 18, 2025</t>
  </si>
  <si>
    <t>33.88</t>
  </si>
  <si>
    <t>32.85</t>
  </si>
  <si>
    <t>32.91</t>
  </si>
  <si>
    <t>Jul 17, 2025</t>
  </si>
  <si>
    <t>33.32</t>
  </si>
  <si>
    <t>Jul 16, 2025</t>
  </si>
  <si>
    <t>32.61</t>
  </si>
  <si>
    <t>32.88</t>
  </si>
  <si>
    <t>Jul 15, 2025</t>
  </si>
  <si>
    <t>34.36</t>
  </si>
  <si>
    <t>Jul 14, 2025</t>
  </si>
  <si>
    <t>34.87</t>
  </si>
  <si>
    <t>34.30</t>
  </si>
  <si>
    <t>Jul 11, 2025</t>
  </si>
  <si>
    <t>35.73</t>
  </si>
  <si>
    <t>34.79</t>
  </si>
  <si>
    <t>35.17</t>
  </si>
  <si>
    <t>Jul 10, 2025</t>
  </si>
  <si>
    <t>36.37</t>
  </si>
  <si>
    <t>34.64</t>
  </si>
  <si>
    <t>35.63</t>
  </si>
  <si>
    <t>Jul 9, 2025</t>
  </si>
  <si>
    <t>35.08</t>
  </si>
  <si>
    <t>34.28</t>
  </si>
  <si>
    <t>34.98</t>
  </si>
  <si>
    <t>Jul 8, 2025</t>
  </si>
  <si>
    <t>35.29</t>
  </si>
  <si>
    <t>34.73</t>
  </si>
  <si>
    <t>Jul 7, 2025</t>
  </si>
  <si>
    <t>34.57</t>
  </si>
  <si>
    <t>33.99</t>
  </si>
  <si>
    <t>Jul 3, 2025</t>
  </si>
  <si>
    <t>34.91</t>
  </si>
  <si>
    <t>35.02</t>
  </si>
  <si>
    <t>34.22</t>
  </si>
  <si>
    <t>34.77</t>
  </si>
  <si>
    <t>Jul 2, 2025</t>
  </si>
  <si>
    <t>35.24</t>
  </si>
  <si>
    <t>33.56</t>
  </si>
  <si>
    <t>34.90</t>
  </si>
  <si>
    <t>Jul 1, 2025</t>
  </si>
  <si>
    <t>31.22</t>
  </si>
  <si>
    <t>34.63</t>
  </si>
  <si>
    <t>Jun 30, 2025</t>
  </si>
  <si>
    <t>32.32</t>
  </si>
  <si>
    <t>Jun 27, 2025</t>
  </si>
  <si>
    <t>32.22</t>
  </si>
  <si>
    <t>Jun 26, 2025</t>
  </si>
  <si>
    <t>31.50</t>
  </si>
  <si>
    <t>Jun 25, 2025</t>
  </si>
  <si>
    <t>32.81</t>
  </si>
  <si>
    <t>31.59</t>
  </si>
  <si>
    <t>Jun 24, 2025</t>
  </si>
  <si>
    <t>33.19</t>
  </si>
  <si>
    <t>Jun 23, 2025</t>
  </si>
  <si>
    <t>32.46</t>
  </si>
  <si>
    <t>Jun 20, 2025</t>
  </si>
  <si>
    <t>32.14</t>
  </si>
  <si>
    <t>31.55</t>
  </si>
  <si>
    <t>Jun 18, 2025</t>
  </si>
  <si>
    <t>31.28</t>
  </si>
  <si>
    <t>32.09</t>
  </si>
  <si>
    <t>31.62</t>
  </si>
  <si>
    <t>Jun 17, 2025</t>
  </si>
  <si>
    <t>31.75</t>
  </si>
  <si>
    <t>32.01</t>
  </si>
  <si>
    <t>31.18</t>
  </si>
  <si>
    <t>31.36</t>
  </si>
  <si>
    <t>Jun 16, 2025</t>
  </si>
  <si>
    <t>31.46</t>
  </si>
  <si>
    <t>31.33</t>
  </si>
  <si>
    <t>32.02</t>
  </si>
  <si>
    <t>Jun 13, 2025</t>
  </si>
  <si>
    <t>32.11</t>
  </si>
  <si>
    <t>30.90</t>
  </si>
  <si>
    <t>Jun 12, 2025</t>
  </si>
  <si>
    <t>32.62</t>
  </si>
  <si>
    <t>Jun 11, 2025</t>
  </si>
  <si>
    <t>33.52</t>
  </si>
  <si>
    <t>Jun 10, 2025</t>
  </si>
  <si>
    <t>33.58</t>
  </si>
  <si>
    <t>Jun 9, 2025</t>
  </si>
  <si>
    <t>31.19</t>
  </si>
  <si>
    <t>Jun 6, 2025</t>
  </si>
  <si>
    <t>31.48</t>
  </si>
  <si>
    <t>Jun 5, 2025</t>
  </si>
  <si>
    <t>31.30</t>
  </si>
  <si>
    <t>30.70</t>
  </si>
  <si>
    <t>Jun 4, 2025</t>
  </si>
  <si>
    <t>30.91</t>
  </si>
  <si>
    <t>30.81</t>
  </si>
  <si>
    <t>31.56</t>
  </si>
  <si>
    <t>Jun 3, 2025</t>
  </si>
  <si>
    <t>29.17</t>
  </si>
  <si>
    <t>Jun 2, 2025</t>
  </si>
  <si>
    <t>30.13</t>
  </si>
  <si>
    <t>29.40</t>
  </si>
  <si>
    <t>May 30, 2025</t>
  </si>
  <si>
    <t>29.77</t>
  </si>
  <si>
    <t>May 29, 2025</t>
  </si>
  <si>
    <t>30.61</t>
  </si>
  <si>
    <t>30.66</t>
  </si>
  <si>
    <t>29.79</t>
  </si>
  <si>
    <t>May 28, 2025</t>
  </si>
  <si>
    <t>30.78</t>
  </si>
  <si>
    <t>May 27, 2025</t>
  </si>
  <si>
    <t>May 23, 2025</t>
  </si>
  <si>
    <t>29.94</t>
  </si>
  <si>
    <t>29.57</t>
  </si>
  <si>
    <t>May 22, 2025</t>
  </si>
  <si>
    <t>30.37</t>
  </si>
  <si>
    <t>29.61</t>
  </si>
  <si>
    <t>May 21, 2025</t>
  </si>
  <si>
    <t>31.23</t>
  </si>
  <si>
    <t>29.97</t>
  </si>
  <si>
    <t>May 20, 2025</t>
  </si>
  <si>
    <t>31.61</t>
  </si>
  <si>
    <t>May 19, 2025</t>
  </si>
  <si>
    <t>May 16, 2025</t>
  </si>
  <si>
    <t>32.21</t>
  </si>
  <si>
    <t>May 15, 2025</t>
  </si>
  <si>
    <t>32.55</t>
  </si>
  <si>
    <t>May 14, 2025</t>
  </si>
  <si>
    <t>31.96</t>
  </si>
  <si>
    <t>May 13, 2025</t>
  </si>
  <si>
    <t>May 12, 2025</t>
  </si>
  <si>
    <t>31.44</t>
  </si>
  <si>
    <t>May 9, 2025</t>
  </si>
  <si>
    <t>29.32</t>
  </si>
  <si>
    <t>May 8, 2025</t>
  </si>
  <si>
    <t>31.11</t>
  </si>
  <si>
    <t>May 7, 2025</t>
  </si>
  <si>
    <t>May 6, 2025</t>
  </si>
  <si>
    <t>May 5, 2025</t>
  </si>
  <si>
    <t>29.71</t>
  </si>
  <si>
    <t>May 2, 2025</t>
  </si>
  <si>
    <t>29.21</t>
  </si>
  <si>
    <t>29.92</t>
  </si>
  <si>
    <t>May 1, 2025</t>
  </si>
  <si>
    <t>28.65</t>
  </si>
  <si>
    <t>28.52</t>
  </si>
  <si>
    <t>Apr 30, 2025</t>
  </si>
  <si>
    <t>Apr 29, 2025</t>
  </si>
  <si>
    <t>Apr 28, 2025</t>
  </si>
  <si>
    <t>Apr 25, 2025</t>
  </si>
  <si>
    <t>28.87</t>
  </si>
  <si>
    <t>Apr 24, 2025</t>
  </si>
  <si>
    <t>28.19</t>
  </si>
  <si>
    <t>28.67</t>
  </si>
  <si>
    <t>Apr 23, 2025</t>
  </si>
  <si>
    <t>29.59</t>
  </si>
  <si>
    <t>28.14</t>
  </si>
  <si>
    <t>Apr 22, 2025</t>
  </si>
  <si>
    <t>28.00</t>
  </si>
  <si>
    <t>27.92</t>
  </si>
  <si>
    <t>Apr 21, 2025</t>
  </si>
  <si>
    <t>26.55</t>
  </si>
  <si>
    <t>27.19</t>
  </si>
  <si>
    <t>Apr 17, 2025</t>
  </si>
  <si>
    <t>Apr 16, 2025</t>
  </si>
  <si>
    <t>26.44</t>
  </si>
  <si>
    <t>26.69</t>
  </si>
  <si>
    <t>Apr 15, 2025</t>
  </si>
  <si>
    <t>26.79</t>
  </si>
  <si>
    <t>27.31</t>
  </si>
  <si>
    <t>26.64</t>
  </si>
  <si>
    <t>Apr 14, 2025</t>
  </si>
  <si>
    <t>27.93</t>
  </si>
  <si>
    <t>25.34</t>
  </si>
  <si>
    <t>Apr 11, 2025</t>
  </si>
  <si>
    <t>27.35</t>
  </si>
  <si>
    <t>25.92</t>
  </si>
  <si>
    <t>27.21</t>
  </si>
  <si>
    <t>Apr 10, 2025</t>
  </si>
  <si>
    <t>27.95</t>
  </si>
  <si>
    <t>26.50</t>
  </si>
  <si>
    <t>Apr 9, 2025</t>
  </si>
  <si>
    <t>24.75</t>
  </si>
  <si>
    <t>24.42</t>
  </si>
  <si>
    <t>Apr 8, 2025</t>
  </si>
  <si>
    <t>27.64</t>
  </si>
  <si>
    <t>24.89</t>
  </si>
  <si>
    <t>25.17</t>
  </si>
  <si>
    <t>Apr 7, 2025</t>
  </si>
  <si>
    <t>27.45</t>
  </si>
  <si>
    <t>26.27</t>
  </si>
  <si>
    <t>26.43</t>
  </si>
  <si>
    <t>Apr 4, 2025</t>
  </si>
  <si>
    <t>26.71</t>
  </si>
  <si>
    <t>Apr 3, 2025</t>
  </si>
  <si>
    <t>29.90</t>
  </si>
  <si>
    <t>Apr 2, 2025</t>
  </si>
  <si>
    <t>Apr 1, 2025</t>
  </si>
  <si>
    <t>Mar 31, 2025</t>
  </si>
  <si>
    <t>29.20</t>
  </si>
  <si>
    <t>30.83</t>
  </si>
  <si>
    <t>30.68</t>
  </si>
  <si>
    <t>Mar 28, 2025</t>
  </si>
  <si>
    <t>Mar 27, 2025</t>
  </si>
  <si>
    <t>29.67</t>
  </si>
  <si>
    <t>30.82</t>
  </si>
  <si>
    <t>Mar 26, 2025</t>
  </si>
  <si>
    <t>29.47</t>
  </si>
  <si>
    <t>Mar 25, 2025</t>
  </si>
  <si>
    <t>30.24</t>
  </si>
  <si>
    <t>29.43</t>
  </si>
  <si>
    <t>Mar 24, 2025</t>
  </si>
  <si>
    <t>30.39</t>
  </si>
  <si>
    <t>Mar 21, 2025</t>
  </si>
  <si>
    <t>29.02</t>
  </si>
  <si>
    <t>29.55</t>
  </si>
  <si>
    <t>Mar 20, 2025</t>
  </si>
  <si>
    <t>29.19</t>
  </si>
  <si>
    <t>Mar 19, 2025</t>
  </si>
  <si>
    <t>Mar 18, 2025</t>
  </si>
  <si>
    <t>Mar 17, 2025</t>
  </si>
  <si>
    <t>Mar 14, 2025</t>
  </si>
  <si>
    <t>31.32</t>
  </si>
  <si>
    <t>Mar 13, 2025</t>
  </si>
  <si>
    <t>30.98</t>
  </si>
  <si>
    <t>29.85</t>
  </si>
  <si>
    <t>Mar 12, 2025</t>
  </si>
  <si>
    <t>30.26</t>
  </si>
  <si>
    <t>30.94</t>
  </si>
  <si>
    <t>Mar 11, 2025</t>
  </si>
  <si>
    <t>Mar 10, 2025</t>
  </si>
  <si>
    <t>32.65</t>
  </si>
  <si>
    <t>32.29</t>
  </si>
  <si>
    <t>135.71</t>
  </si>
  <si>
    <t>138.79</t>
  </si>
  <si>
    <t>134.56</t>
  </si>
  <si>
    <t>138.60</t>
  </si>
  <si>
    <t>9,682,504</t>
  </si>
  <si>
    <t>Alibaba Group Holding Limited (BABA)</t>
  </si>
  <si>
    <t>130.24</t>
  </si>
  <si>
    <t>132.91</t>
  </si>
  <si>
    <t>128.55</t>
  </si>
  <si>
    <t>132.64</t>
  </si>
  <si>
    <t>9,880,600</t>
  </si>
  <si>
    <t>129.30</t>
  </si>
  <si>
    <t>132.43</t>
  </si>
  <si>
    <t>128.80</t>
  </si>
  <si>
    <t>130.79</t>
  </si>
  <si>
    <t>10,957,000</t>
  </si>
  <si>
    <t>129.70</t>
  </si>
  <si>
    <t>131.63</t>
  </si>
  <si>
    <t>128.60</t>
  </si>
  <si>
    <t>130.35</t>
  </si>
  <si>
    <t>18,612,900</t>
  </si>
  <si>
    <t>134.99</t>
  </si>
  <si>
    <t>135.12</t>
  </si>
  <si>
    <t>132.72</t>
  </si>
  <si>
    <t>133.27</t>
  </si>
  <si>
    <t>14,293,900</t>
  </si>
  <si>
    <t>136.38</t>
  </si>
  <si>
    <t>137.08</t>
  </si>
  <si>
    <t>133.40</t>
  </si>
  <si>
    <t>135.59</t>
  </si>
  <si>
    <t>18,476,800</t>
  </si>
  <si>
    <t>139.19</t>
  </si>
  <si>
    <t>143.00</t>
  </si>
  <si>
    <t>139.05</t>
  </si>
  <si>
    <t>142.56</t>
  </si>
  <si>
    <t>9,428,300</t>
  </si>
  <si>
    <t>145.46</t>
  </si>
  <si>
    <t>146.40</t>
  </si>
  <si>
    <t>143.33</t>
  </si>
  <si>
    <t>144.11</t>
  </si>
  <si>
    <t>9,780,300</t>
  </si>
  <si>
    <t>148.35</t>
  </si>
  <si>
    <t>149.06</t>
  </si>
  <si>
    <t>145.60</t>
  </si>
  <si>
    <t>148.05</t>
  </si>
  <si>
    <t>10,256,400</t>
  </si>
  <si>
    <t>152.80</t>
  </si>
  <si>
    <t>153.55</t>
  </si>
  <si>
    <t>150.96</t>
  </si>
  <si>
    <t>152.28</t>
  </si>
  <si>
    <t>5,813,400</t>
  </si>
  <si>
    <t>152.10</t>
  </si>
  <si>
    <t>153.73</t>
  </si>
  <si>
    <t>150.90</t>
  </si>
  <si>
    <t>153.11</t>
  </si>
  <si>
    <t>6,655,200</t>
  </si>
  <si>
    <t>155.50</t>
  </si>
  <si>
    <t>156.33</t>
  </si>
  <si>
    <t>152.57</t>
  </si>
  <si>
    <t>152.78</t>
  </si>
  <si>
    <t>6,751,000</t>
  </si>
  <si>
    <t>150.85</t>
  </si>
  <si>
    <t>155.49</t>
  </si>
  <si>
    <t>150.43</t>
  </si>
  <si>
    <t>154.45</t>
  </si>
  <si>
    <t>8,758,700</t>
  </si>
  <si>
    <t>155.23</t>
  </si>
  <si>
    <t>153.15</t>
  </si>
  <si>
    <t>154.27</t>
  </si>
  <si>
    <t>6,582,500</t>
  </si>
  <si>
    <t>156.88</t>
  </si>
  <si>
    <t>157.50</t>
  </si>
  <si>
    <t>155.57</t>
  </si>
  <si>
    <t>155.77</t>
  </si>
  <si>
    <t>4,506,600</t>
  </si>
  <si>
    <t>156.38</t>
  </si>
  <si>
    <t>158.13</t>
  </si>
  <si>
    <t>153.46</t>
  </si>
  <si>
    <t>155.43</t>
  </si>
  <si>
    <t>6,803,600</t>
  </si>
  <si>
    <t>152.85</t>
  </si>
  <si>
    <t>158.11</t>
  </si>
  <si>
    <t>155.73</t>
  </si>
  <si>
    <t>16,045,600</t>
  </si>
  <si>
    <t>163.12</t>
  </si>
  <si>
    <t>163.37</t>
  </si>
  <si>
    <t>156.96</t>
  </si>
  <si>
    <t>158.73</t>
  </si>
  <si>
    <t>11,457,800</t>
  </si>
  <si>
    <t>164.09</t>
  </si>
  <si>
    <t>165.20</t>
  </si>
  <si>
    <t>161.38</t>
  </si>
  <si>
    <t>164.32</t>
  </si>
  <si>
    <t>8,756,900</t>
  </si>
  <si>
    <t>163.74</t>
  </si>
  <si>
    <t>168.26</t>
  </si>
  <si>
    <t>162.30</t>
  </si>
  <si>
    <t>166.51</t>
  </si>
  <si>
    <t>10,990,000</t>
  </si>
  <si>
    <t>161.89</t>
  </si>
  <si>
    <t>165.03</t>
  </si>
  <si>
    <t>160.89</t>
  </si>
  <si>
    <t>163.00</t>
  </si>
  <si>
    <t>7,260,500</t>
  </si>
  <si>
    <t>160.46</t>
  </si>
  <si>
    <t>162.86</t>
  </si>
  <si>
    <t>159.50</t>
  </si>
  <si>
    <t>162.51</t>
  </si>
  <si>
    <t>10,972,100</t>
  </si>
  <si>
    <t>161.14</t>
  </si>
  <si>
    <t>161.47</t>
  </si>
  <si>
    <t>156.71</t>
  </si>
  <si>
    <t>157.76</t>
  </si>
  <si>
    <t>10,936,700</t>
  </si>
  <si>
    <t>162.33</t>
  </si>
  <si>
    <t>162.85</t>
  </si>
  <si>
    <t>156.78</t>
  </si>
  <si>
    <t>159.14</t>
  </si>
  <si>
    <t>11,851,400</t>
  </si>
  <si>
    <t>163.88</t>
  </si>
  <si>
    <t>165.35</t>
  </si>
  <si>
    <t>160.61</t>
  </si>
  <si>
    <t>163.65</t>
  </si>
  <si>
    <t>10,066,600</t>
  </si>
  <si>
    <t>167.98</t>
  </si>
  <si>
    <t>169.56</t>
  </si>
  <si>
    <t>167.34</t>
  </si>
  <si>
    <t>168.39</t>
  </si>
  <si>
    <t>6,551,800</t>
  </si>
  <si>
    <t>172.70</t>
  </si>
  <si>
    <t>174.00</t>
  </si>
  <si>
    <t>169.47</t>
  </si>
  <si>
    <t>10,846,100</t>
  </si>
  <si>
    <t>178.34</t>
  </si>
  <si>
    <t>180.75</t>
  </si>
  <si>
    <t>171.60</t>
  </si>
  <si>
    <t>174.25</t>
  </si>
  <si>
    <t>12,062,500</t>
  </si>
  <si>
    <t>176.25</t>
  </si>
  <si>
    <t>177.87</t>
  </si>
  <si>
    <t>174.56</t>
  </si>
  <si>
    <t>175.66</t>
  </si>
  <si>
    <t>9,001,500</t>
  </si>
  <si>
    <t>174.05</t>
  </si>
  <si>
    <t>176.46</t>
  </si>
  <si>
    <t>172.22</t>
  </si>
  <si>
    <t>172.72</t>
  </si>
  <si>
    <t>8,931,300</t>
  </si>
  <si>
    <t>169.79</t>
  </si>
  <si>
    <t>172.99</t>
  </si>
  <si>
    <t>168.68</t>
  </si>
  <si>
    <t>171.37</t>
  </si>
  <si>
    <t>10,166,100</t>
  </si>
  <si>
    <t>175.43</t>
  </si>
  <si>
    <t>175.61</t>
  </si>
  <si>
    <t>171.94</t>
  </si>
  <si>
    <t>173.23</t>
  </si>
  <si>
    <t>13,064,100</t>
  </si>
  <si>
    <t>176.43</t>
  </si>
  <si>
    <t>181.10</t>
  </si>
  <si>
    <t>174.77</t>
  </si>
  <si>
    <t>177.18</t>
  </si>
  <si>
    <t>32,031,100</t>
  </si>
  <si>
    <t>167.57</t>
  </si>
  <si>
    <t>169.87</t>
  </si>
  <si>
    <t>165.66</t>
  </si>
  <si>
    <t>168.67</t>
  </si>
  <si>
    <t>11,713,700</t>
  </si>
  <si>
    <t>161.83</t>
  </si>
  <si>
    <t>166.18</t>
  </si>
  <si>
    <t>161.68</t>
  </si>
  <si>
    <t>162.39</t>
  </si>
  <si>
    <t>9,885,000</t>
  </si>
  <si>
    <t>169.78</t>
  </si>
  <si>
    <t>169.85</t>
  </si>
  <si>
    <t>163.49</t>
  </si>
  <si>
    <t>165.40</t>
  </si>
  <si>
    <t>18,598,300</t>
  </si>
  <si>
    <t>169.65</t>
  </si>
  <si>
    <t>173.30</t>
  </si>
  <si>
    <t>170.93</t>
  </si>
  <si>
    <t>12,607,000</t>
  </si>
  <si>
    <t>171.57</t>
  </si>
  <si>
    <t>172.80</t>
  </si>
  <si>
    <t>169.90</t>
  </si>
  <si>
    <t>17,475,100</t>
  </si>
  <si>
    <t>165.50</t>
  </si>
  <si>
    <t>170.68</t>
  </si>
  <si>
    <t>164.91</t>
  </si>
  <si>
    <t>167.01</t>
  </si>
  <si>
    <t>18,850,400</t>
  </si>
  <si>
    <t>157.47</t>
  </si>
  <si>
    <t>167.69</t>
  </si>
  <si>
    <t>166.31</t>
  </si>
  <si>
    <t>35,379,000</t>
  </si>
  <si>
    <t>151.33</t>
  </si>
  <si>
    <t>151.57</t>
  </si>
  <si>
    <t>148.52</t>
  </si>
  <si>
    <t>11,437,900</t>
  </si>
  <si>
    <t>146.10</t>
  </si>
  <si>
    <t>155.29</t>
  </si>
  <si>
    <t>145.27</t>
  </si>
  <si>
    <t>154.47</t>
  </si>
  <si>
    <t>20,981,700</t>
  </si>
  <si>
    <t>148.38</t>
  </si>
  <si>
    <t>146.61</t>
  </si>
  <si>
    <t>146.75</t>
  </si>
  <si>
    <t>12,613,200</t>
  </si>
  <si>
    <t>155.22</t>
  </si>
  <si>
    <t>155.84</t>
  </si>
  <si>
    <t>150.86</t>
  </si>
  <si>
    <t>12,998,100</t>
  </si>
  <si>
    <t>156.55</t>
  </si>
  <si>
    <t>152.17</t>
  </si>
  <si>
    <t>156.26</t>
  </si>
  <si>
    <t>14,744,000</t>
  </si>
  <si>
    <t>152.62</t>
  </si>
  <si>
    <t>156.65</t>
  </si>
  <si>
    <t>151.80</t>
  </si>
  <si>
    <t>155.74</t>
  </si>
  <si>
    <t>15,778,300</t>
  </si>
  <si>
    <t>146.69</t>
  </si>
  <si>
    <t>147.37</t>
  </si>
  <si>
    <t>145.64</t>
  </si>
  <si>
    <t>146.58</t>
  </si>
  <si>
    <t>6,116,000</t>
  </si>
  <si>
    <t>148.84</t>
  </si>
  <si>
    <t>149.10</t>
  </si>
  <si>
    <t>147.35</t>
  </si>
  <si>
    <t>147.36</t>
  </si>
  <si>
    <t>6,832,300</t>
  </si>
  <si>
    <t>147.72</t>
  </si>
  <si>
    <t>148.75</t>
  </si>
  <si>
    <t>147.21</t>
  </si>
  <si>
    <t>148.49</t>
  </si>
  <si>
    <t>8,900,000</t>
  </si>
  <si>
    <t>150.29</t>
  </si>
  <si>
    <t>152.98</t>
  </si>
  <si>
    <t>150.06</t>
  </si>
  <si>
    <t>152.24</t>
  </si>
  <si>
    <t>6,037,200</t>
  </si>
  <si>
    <t>150.50</t>
  </si>
  <si>
    <t>150.79</t>
  </si>
  <si>
    <t>149.92</t>
  </si>
  <si>
    <t>3,274,200</t>
  </si>
  <si>
    <t>150.57</t>
  </si>
  <si>
    <t>151.30</t>
  </si>
  <si>
    <t>149.27</t>
  </si>
  <si>
    <t>151.23</t>
  </si>
  <si>
    <t>5,373,300</t>
  </si>
  <si>
    <t>150.40</t>
  </si>
  <si>
    <t>151.82</t>
  </si>
  <si>
    <t>149.12</t>
  </si>
  <si>
    <t>6,779,100</t>
  </si>
  <si>
    <t>149.01</t>
  </si>
  <si>
    <t>151.47</t>
  </si>
  <si>
    <t>148.88</t>
  </si>
  <si>
    <t>149.79</t>
  </si>
  <si>
    <t>9,004,200</t>
  </si>
  <si>
    <t>148.65</t>
  </si>
  <si>
    <t>149.20</t>
  </si>
  <si>
    <t>147.12</t>
  </si>
  <si>
    <t>147.32</t>
  </si>
  <si>
    <t>6,597,400</t>
  </si>
  <si>
    <t>150.60</t>
  </si>
  <si>
    <t>151.39</t>
  </si>
  <si>
    <t>147.09</t>
  </si>
  <si>
    <t>8,271,000</t>
  </si>
  <si>
    <t>148.95</t>
  </si>
  <si>
    <t>149.97</t>
  </si>
  <si>
    <t>147.51</t>
  </si>
  <si>
    <t>149.29</t>
  </si>
  <si>
    <t>9,051,900</t>
  </si>
  <si>
    <t>153.18</t>
  </si>
  <si>
    <t>153.21</t>
  </si>
  <si>
    <t>149.58</t>
  </si>
  <si>
    <t>150.09</t>
  </si>
  <si>
    <t>11,233,100</t>
  </si>
  <si>
    <t>158.95</t>
  </si>
  <si>
    <t>153.80</t>
  </si>
  <si>
    <t>155.68</t>
  </si>
  <si>
    <t>6,708,400</t>
  </si>
  <si>
    <t>155.15</t>
  </si>
  <si>
    <t>157.05</t>
  </si>
  <si>
    <t>153.36</t>
  </si>
  <si>
    <t>156.90</t>
  </si>
  <si>
    <t>8,171,200</t>
  </si>
  <si>
    <t>159.64</t>
  </si>
  <si>
    <t>160.74</t>
  </si>
  <si>
    <t>158.82</t>
  </si>
  <si>
    <t>10,928,600</t>
  </si>
  <si>
    <t>154.44</t>
  </si>
  <si>
    <t>156.60</t>
  </si>
  <si>
    <t>154.30</t>
  </si>
  <si>
    <t>155.96</t>
  </si>
  <si>
    <t>6,458,100</t>
  </si>
  <si>
    <t>157.57</t>
  </si>
  <si>
    <t>158.74</t>
  </si>
  <si>
    <t>156.41</t>
  </si>
  <si>
    <t>7,342,000</t>
  </si>
  <si>
    <t>159.15</t>
  </si>
  <si>
    <t>159.49</t>
  </si>
  <si>
    <t>157.68</t>
  </si>
  <si>
    <t>158.32</t>
  </si>
  <si>
    <t>6,277,100</t>
  </si>
  <si>
    <t>158.27</t>
  </si>
  <si>
    <t>158.80</t>
  </si>
  <si>
    <t>157.44</t>
  </si>
  <si>
    <t>6,666,300</t>
  </si>
  <si>
    <t>157.40</t>
  </si>
  <si>
    <t>158.46</t>
  </si>
  <si>
    <t>156.53</t>
  </si>
  <si>
    <t>158.08</t>
  </si>
  <si>
    <t>6,968,000</t>
  </si>
  <si>
    <t>161.20</t>
  </si>
  <si>
    <t>161.73</t>
  </si>
  <si>
    <t>159.12</t>
  </si>
  <si>
    <t>161.13</t>
  </si>
  <si>
    <t>9,878,500</t>
  </si>
  <si>
    <t>160.50</t>
  </si>
  <si>
    <t>164.85</t>
  </si>
  <si>
    <t>159.41</t>
  </si>
  <si>
    <t>164.26</t>
  </si>
  <si>
    <t>15,321,200</t>
  </si>
  <si>
    <t>156.16</t>
  </si>
  <si>
    <t>158.69</t>
  </si>
  <si>
    <t>157.30</t>
  </si>
  <si>
    <t>7,185,500</t>
  </si>
  <si>
    <t>159.10</t>
  </si>
  <si>
    <t>161.46</t>
  </si>
  <si>
    <t>150.00</t>
  </si>
  <si>
    <t>157.60</t>
  </si>
  <si>
    <t>21,453,100</t>
  </si>
  <si>
    <t>166.37</t>
  </si>
  <si>
    <t>156.15</t>
  </si>
  <si>
    <t>157.01</t>
  </si>
  <si>
    <t>27,097,500</t>
  </si>
  <si>
    <t>160.00</t>
  </si>
  <si>
    <t>161.50</t>
  </si>
  <si>
    <t>158.70</t>
  </si>
  <si>
    <t>160.73</t>
  </si>
  <si>
    <t>21,796,600</t>
  </si>
  <si>
    <t>151.98</t>
  </si>
  <si>
    <t>155.88</t>
  </si>
  <si>
    <t>148.64</t>
  </si>
  <si>
    <t>152.93</t>
  </si>
  <si>
    <t>16,240,800</t>
  </si>
  <si>
    <t>159.00</t>
  </si>
  <si>
    <t>161.39</t>
  </si>
  <si>
    <t>153.00</t>
  </si>
  <si>
    <t>153.28</t>
  </si>
  <si>
    <t>13,466,900</t>
  </si>
  <si>
    <t>159.32</t>
  </si>
  <si>
    <t>160.97</t>
  </si>
  <si>
    <t>158.04</t>
  </si>
  <si>
    <t>158.89</t>
  </si>
  <si>
    <t>7,949,900</t>
  </si>
  <si>
    <t>157.31</t>
  </si>
  <si>
    <t>161.28</t>
  </si>
  <si>
    <t>156.70</t>
  </si>
  <si>
    <t>159.72</t>
  </si>
  <si>
    <t>12,438,900</t>
  </si>
  <si>
    <t>157.98</t>
  </si>
  <si>
    <t>161.02</t>
  </si>
  <si>
    <t>157.71</t>
  </si>
  <si>
    <t>16,911,400</t>
  </si>
  <si>
    <t>156.94</t>
  </si>
  <si>
    <t>162.62</t>
  </si>
  <si>
    <t>151.78</t>
  </si>
  <si>
    <t>33,991,000</t>
  </si>
  <si>
    <t>164.00</t>
  </si>
  <si>
    <t>158.50</t>
  </si>
  <si>
    <t>159.84</t>
  </si>
  <si>
    <t>17,213,000</t>
  </si>
  <si>
    <t>160.98</t>
  </si>
  <si>
    <t>161.19</t>
  </si>
  <si>
    <t>156.20</t>
  </si>
  <si>
    <t>157.91</t>
  </si>
  <si>
    <t>13,920,800</t>
  </si>
  <si>
    <t>164.59</t>
  </si>
  <si>
    <t>165.58</t>
  </si>
  <si>
    <t>160.16</t>
  </si>
  <si>
    <t>160.80</t>
  </si>
  <si>
    <t>11,354,400</t>
  </si>
  <si>
    <t>167.62</t>
  </si>
  <si>
    <t>168.00</t>
  </si>
  <si>
    <t>163.64</t>
  </si>
  <si>
    <t>165.89</t>
  </si>
  <si>
    <t>9,348,700</t>
  </si>
  <si>
    <t>162.96</t>
  </si>
  <si>
    <t>166.38</t>
  </si>
  <si>
    <t>161.22</t>
  </si>
  <si>
    <t>166.34</t>
  </si>
  <si>
    <t>11,581,200</t>
  </si>
  <si>
    <t>169.00</t>
  </si>
  <si>
    <t>170.55</t>
  </si>
  <si>
    <t>165.52</t>
  </si>
  <si>
    <t>167.61</t>
  </si>
  <si>
    <t>164.40</t>
  </si>
  <si>
    <t>166.88</t>
  </si>
  <si>
    <t>163.60</t>
  </si>
  <si>
    <t>164.82</t>
  </si>
  <si>
    <t>8,631,400</t>
  </si>
  <si>
    <t>162.60</t>
  </si>
  <si>
    <t>166.50</t>
  </si>
  <si>
    <t>162.20</t>
  </si>
  <si>
    <t>164.30</t>
  </si>
  <si>
    <t>9,693,100</t>
  </si>
  <si>
    <t>168.31</t>
  </si>
  <si>
    <t>168.94</t>
  </si>
  <si>
    <t>9,702,300</t>
  </si>
  <si>
    <t>170.53</t>
  </si>
  <si>
    <t>171.45</t>
  </si>
  <si>
    <t>168.12</t>
  </si>
  <si>
    <t>170.43</t>
  </si>
  <si>
    <t>13,181,400</t>
  </si>
  <si>
    <t>174.32</t>
  </si>
  <si>
    <t>176.38</t>
  </si>
  <si>
    <t>173.78</t>
  </si>
  <si>
    <t>173.93</t>
  </si>
  <si>
    <t>10,756,300</t>
  </si>
  <si>
    <t>180.29</t>
  </si>
  <si>
    <t>182.50</t>
  </si>
  <si>
    <t>178.09</t>
  </si>
  <si>
    <t>179.97</t>
  </si>
  <si>
    <t>12,068,900</t>
  </si>
  <si>
    <t>177.48</t>
  </si>
  <si>
    <t>179.38</t>
  </si>
  <si>
    <t>175.24</t>
  </si>
  <si>
    <t>176.72</t>
  </si>
  <si>
    <t>11,906,900</t>
  </si>
  <si>
    <t>179.74</t>
  </si>
  <si>
    <t>180.00</t>
  </si>
  <si>
    <t>177.62</t>
  </si>
  <si>
    <t>179.45</t>
  </si>
  <si>
    <t>12,580,800</t>
  </si>
  <si>
    <t>174.40</t>
  </si>
  <si>
    <t>176.44</t>
  </si>
  <si>
    <t>173.36</t>
  </si>
  <si>
    <t>174.70</t>
  </si>
  <si>
    <t>11,841,000</t>
  </si>
  <si>
    <t>168.97</t>
  </si>
  <si>
    <t>173.24</t>
  </si>
  <si>
    <t>168.32</t>
  </si>
  <si>
    <t>171.90</t>
  </si>
  <si>
    <t>12,792,100</t>
  </si>
  <si>
    <t>167.00</t>
  </si>
  <si>
    <t>169.67</t>
  </si>
  <si>
    <t>163.58</t>
  </si>
  <si>
    <t>165.86</t>
  </si>
  <si>
    <t>15,016,500</t>
  </si>
  <si>
    <t>170.52</t>
  </si>
  <si>
    <t>170.94</t>
  </si>
  <si>
    <t>166.42</t>
  </si>
  <si>
    <t>166.67</t>
  </si>
  <si>
    <t>15,662,500</t>
  </si>
  <si>
    <t>167.29</t>
  </si>
  <si>
    <t>174.97</t>
  </si>
  <si>
    <t>165.79</t>
  </si>
  <si>
    <t>173.47</t>
  </si>
  <si>
    <t>20,120,500</t>
  </si>
  <si>
    <t>161.76</t>
  </si>
  <si>
    <t>169.10</t>
  </si>
  <si>
    <t>161.15</t>
  </si>
  <si>
    <t>167.05</t>
  </si>
  <si>
    <t>17,765,700</t>
  </si>
  <si>
    <t>166.52</t>
  </si>
  <si>
    <t>168.30</t>
  </si>
  <si>
    <t>164.46</t>
  </si>
  <si>
    <t>165.09</t>
  </si>
  <si>
    <t>10,979,700</t>
  </si>
  <si>
    <t>168.07</t>
  </si>
  <si>
    <t>168.10</t>
  </si>
  <si>
    <t>164.60</t>
  </si>
  <si>
    <t>165.91</t>
  </si>
  <si>
    <t>15,337,400</t>
  </si>
  <si>
    <t>160.05</t>
  </si>
  <si>
    <t>18,583,200</t>
  </si>
  <si>
    <t>167.78</t>
  </si>
  <si>
    <t>168.79</t>
  </si>
  <si>
    <t>166.81</t>
  </si>
  <si>
    <t>25,703,100</t>
  </si>
  <si>
    <t>170.03</t>
  </si>
  <si>
    <t>172.93</t>
  </si>
  <si>
    <t>157.25</t>
  </si>
  <si>
    <t>159.01</t>
  </si>
  <si>
    <t>50,296,800</t>
  </si>
  <si>
    <t>178.52</t>
  </si>
  <si>
    <t>178.78</t>
  </si>
  <si>
    <t>172.30</t>
  </si>
  <si>
    <t>173.68</t>
  </si>
  <si>
    <t>21,211,600</t>
  </si>
  <si>
    <t>180.79</t>
  </si>
  <si>
    <t>182.09</t>
  </si>
  <si>
    <t>177.30</t>
  </si>
  <si>
    <t>181.12</t>
  </si>
  <si>
    <t>15,883,700</t>
  </si>
  <si>
    <t>187.40</t>
  </si>
  <si>
    <t>188.66</t>
  </si>
  <si>
    <t>180.44</t>
  </si>
  <si>
    <t>181.33</t>
  </si>
  <si>
    <t>16,942,200</t>
  </si>
  <si>
    <t>186.50</t>
  </si>
  <si>
    <t>189.61</t>
  </si>
  <si>
    <t>186.31</t>
  </si>
  <si>
    <t>187.22</t>
  </si>
  <si>
    <t>10,973,500</t>
  </si>
  <si>
    <t>190.72</t>
  </si>
  <si>
    <t>191.07</t>
  </si>
  <si>
    <t>187.13</t>
  </si>
  <si>
    <t>188.03</t>
  </si>
  <si>
    <t>13,990,900</t>
  </si>
  <si>
    <t>188.58</t>
  </si>
  <si>
    <t>192.67</t>
  </si>
  <si>
    <t>188.30</t>
  </si>
  <si>
    <t>189.34</t>
  </si>
  <si>
    <t>23,687,800</t>
  </si>
  <si>
    <t>179.98</t>
  </si>
  <si>
    <t>183.08</t>
  </si>
  <si>
    <t>178.87</t>
  </si>
  <si>
    <t>182.78</t>
  </si>
  <si>
    <t>14,966,900</t>
  </si>
  <si>
    <t>181.66</t>
  </si>
  <si>
    <t>182.15</t>
  </si>
  <si>
    <t>177.10</t>
  </si>
  <si>
    <t>178.73</t>
  </si>
  <si>
    <t>18,681,500</t>
  </si>
  <si>
    <t>178.08</t>
  </si>
  <si>
    <t>181.34</t>
  </si>
  <si>
    <t>177.59</t>
  </si>
  <si>
    <t>179.90</t>
  </si>
  <si>
    <t>21,576,300</t>
  </si>
  <si>
    <t>172.17</t>
  </si>
  <si>
    <t>172.76</t>
  </si>
  <si>
    <t>169.70</t>
  </si>
  <si>
    <t>171.91</t>
  </si>
  <si>
    <t>15,971,100</t>
  </si>
  <si>
    <t>173.40</t>
  </si>
  <si>
    <t>175.77</t>
  </si>
  <si>
    <t>175.47</t>
  </si>
  <si>
    <t>20,712,200</t>
  </si>
  <si>
    <t>175.98</t>
  </si>
  <si>
    <t>180.16</t>
  </si>
  <si>
    <t>175.00</t>
  </si>
  <si>
    <t>52,642,300</t>
  </si>
  <si>
    <t>165.01</t>
  </si>
  <si>
    <t>167.83</t>
  </si>
  <si>
    <t>162.80</t>
  </si>
  <si>
    <t>163.08</t>
  </si>
  <si>
    <t>18,278,600</t>
  </si>
  <si>
    <t>163.76</t>
  </si>
  <si>
    <t>167.43</t>
  </si>
  <si>
    <t>163.03</t>
  </si>
  <si>
    <t>164.25</t>
  </si>
  <si>
    <t>18,667,700</t>
  </si>
  <si>
    <t>164.69</t>
  </si>
  <si>
    <t>166.25</t>
  </si>
  <si>
    <t>162.61</t>
  </si>
  <si>
    <t>162.81</t>
  </si>
  <si>
    <t>18,183,200</t>
  </si>
  <si>
    <t>162.50</t>
  </si>
  <si>
    <t>164.79</t>
  </si>
  <si>
    <t>161.30</t>
  </si>
  <si>
    <t>162.48</t>
  </si>
  <si>
    <t>19,529,600</t>
  </si>
  <si>
    <t>166.00</t>
  </si>
  <si>
    <t>167.32</t>
  </si>
  <si>
    <t>163.26</t>
  </si>
  <si>
    <t>166.17</t>
  </si>
  <si>
    <t>29,344,300</t>
  </si>
  <si>
    <t>158.36</t>
  </si>
  <si>
    <t>157.59</t>
  </si>
  <si>
    <t>162.21</t>
  </si>
  <si>
    <t>26,017,700</t>
  </si>
  <si>
    <t>159.09</t>
  </si>
  <si>
    <t>159.70</t>
  </si>
  <si>
    <t>156.73</t>
  </si>
  <si>
    <t>23,567,200</t>
  </si>
  <si>
    <t>154.07</t>
  </si>
  <si>
    <t>155.46</t>
  </si>
  <si>
    <t>152.06</t>
  </si>
  <si>
    <t>155.06</t>
  </si>
  <si>
    <t>20,903,300</t>
  </si>
  <si>
    <t>148.12</t>
  </si>
  <si>
    <t>156.85</t>
  </si>
  <si>
    <t>147.86</t>
  </si>
  <si>
    <t>155.44</t>
  </si>
  <si>
    <t>50,089,200</t>
  </si>
  <si>
    <t>145.42</t>
  </si>
  <si>
    <t>145.92</t>
  </si>
  <si>
    <t>143.23</t>
  </si>
  <si>
    <t>143.93</t>
  </si>
  <si>
    <t>21,079,900</t>
  </si>
  <si>
    <t>145.40</t>
  </si>
  <si>
    <t>148.00</t>
  </si>
  <si>
    <t>144.65</t>
  </si>
  <si>
    <t>147.10</t>
  </si>
  <si>
    <t>32,792,300</t>
  </si>
  <si>
    <t>139.88</t>
  </si>
  <si>
    <t>141.22</t>
  </si>
  <si>
    <t>138.77</t>
  </si>
  <si>
    <t>141.20</t>
  </si>
  <si>
    <t>20,095,300</t>
  </si>
  <si>
    <t>135.03</t>
  </si>
  <si>
    <t>135.61</t>
  </si>
  <si>
    <t>132.70</t>
  </si>
  <si>
    <t>135.58</t>
  </si>
  <si>
    <t>19,202,500</t>
  </si>
  <si>
    <t>133.16</t>
  </si>
  <si>
    <t>134.25</t>
  </si>
  <si>
    <t>130.06</t>
  </si>
  <si>
    <t>130.92</t>
  </si>
  <si>
    <t>24,730,900</t>
  </si>
  <si>
    <t>136.70</t>
  </si>
  <si>
    <t>137.77</t>
  </si>
  <si>
    <t>136.45</t>
  </si>
  <si>
    <t>16,470,500</t>
  </si>
  <si>
    <t>134.47</t>
  </si>
  <si>
    <t>138.83</t>
  </si>
  <si>
    <t>133.06</t>
  </si>
  <si>
    <t>138.55</t>
  </si>
  <si>
    <t>41,625,400</t>
  </si>
  <si>
    <t>128.88</t>
  </si>
  <si>
    <t>136.65</t>
  </si>
  <si>
    <t>128.51</t>
  </si>
  <si>
    <t>135.00</t>
  </si>
  <si>
    <t>82,165,100</t>
  </si>
  <si>
    <t>119.53</t>
  </si>
  <si>
    <t>121.25</t>
  </si>
  <si>
    <t>117.60</t>
  </si>
  <si>
    <t>119.57</t>
  </si>
  <si>
    <t>14,501,100</t>
  </si>
  <si>
    <t>121.20</t>
  </si>
  <si>
    <t>122.51</t>
  </si>
  <si>
    <t>120.79</t>
  </si>
  <si>
    <t>122.23</t>
  </si>
  <si>
    <t>13,833,100</t>
  </si>
  <si>
    <t>125.29</t>
  </si>
  <si>
    <t>126.00</t>
  </si>
  <si>
    <t>123.72</t>
  </si>
  <si>
    <t>124.19</t>
  </si>
  <si>
    <t>8,706,100</t>
  </si>
  <si>
    <t>125.18</t>
  </si>
  <si>
    <t>126.73</t>
  </si>
  <si>
    <t>123.50</t>
  </si>
  <si>
    <t>124.35</t>
  </si>
  <si>
    <t>12,888,400</t>
  </si>
  <si>
    <t>120.47</t>
  </si>
  <si>
    <t>123.40</t>
  </si>
  <si>
    <t>120.28</t>
  </si>
  <si>
    <t>122.94</t>
  </si>
  <si>
    <t>13,855,300</t>
  </si>
  <si>
    <t>117.88</t>
  </si>
  <si>
    <t>119.27</t>
  </si>
  <si>
    <t>117.51</t>
  </si>
  <si>
    <t>118.09</t>
  </si>
  <si>
    <t>8,231,200</t>
  </si>
  <si>
    <t>119.92</t>
  </si>
  <si>
    <t>120.81</t>
  </si>
  <si>
    <t>118.67</t>
  </si>
  <si>
    <t>119.49</t>
  </si>
  <si>
    <t>7,095,800</t>
  </si>
  <si>
    <t>121.58</t>
  </si>
  <si>
    <t>122.58</t>
  </si>
  <si>
    <t>119.99</t>
  </si>
  <si>
    <t>8,106,100</t>
  </si>
  <si>
    <t>121.92</t>
  </si>
  <si>
    <t>123.15</t>
  </si>
  <si>
    <t>120.90</t>
  </si>
  <si>
    <t>121.40</t>
  </si>
  <si>
    <t>8,550,400</t>
  </si>
  <si>
    <t>120.98</t>
  </si>
  <si>
    <t>122.19</t>
  </si>
  <si>
    <t>120.68</t>
  </si>
  <si>
    <t>121.26</t>
  </si>
  <si>
    <t>11,141,800</t>
  </si>
  <si>
    <t>123.73</t>
  </si>
  <si>
    <t>123.93</t>
  </si>
  <si>
    <t>121.34</t>
  </si>
  <si>
    <t>122.28</t>
  </si>
  <si>
    <t>15,045,600</t>
  </si>
  <si>
    <t>126.69</t>
  </si>
  <si>
    <t>127.93</t>
  </si>
  <si>
    <t>125.08</t>
  </si>
  <si>
    <t>126.86</t>
  </si>
  <si>
    <t>19,362,500</t>
  </si>
  <si>
    <t>118.81</t>
  </si>
  <si>
    <t>122.79</t>
  </si>
  <si>
    <t>118.10</t>
  </si>
  <si>
    <t>122.42</t>
  </si>
  <si>
    <t>11,939,800</t>
  </si>
  <si>
    <t>120.43</t>
  </si>
  <si>
    <t>121.30</t>
  </si>
  <si>
    <t>118.12</t>
  </si>
  <si>
    <t>118.64</t>
  </si>
  <si>
    <t>12,072,000</t>
  </si>
  <si>
    <t>119.32</t>
  </si>
  <si>
    <t>120.70</t>
  </si>
  <si>
    <t>118.65</t>
  </si>
  <si>
    <t>120.36</t>
  </si>
  <si>
    <t>9,763,600</t>
  </si>
  <si>
    <t>119.60</t>
  </si>
  <si>
    <t>120.96</t>
  </si>
  <si>
    <t>9,480,600</t>
  </si>
  <si>
    <t>118.88</t>
  </si>
  <si>
    <t>121.29</t>
  </si>
  <si>
    <t>117.77</t>
  </si>
  <si>
    <t>120.86</t>
  </si>
  <si>
    <t>12,079,600</t>
  </si>
  <si>
    <t>116.87</t>
  </si>
  <si>
    <t>117.04</t>
  </si>
  <si>
    <t>5,885,600</t>
  </si>
  <si>
    <t>118.35</t>
  </si>
  <si>
    <t>116.86</t>
  </si>
  <si>
    <t>117.50</t>
  </si>
  <si>
    <t>7,272,100</t>
  </si>
  <si>
    <t>118.06</t>
  </si>
  <si>
    <t>118.37</t>
  </si>
  <si>
    <t>116.11</t>
  </si>
  <si>
    <t>117.07</t>
  </si>
  <si>
    <t>12,424,300</t>
  </si>
  <si>
    <t>117.82</t>
  </si>
  <si>
    <t>117.52</t>
  </si>
  <si>
    <t>120.63</t>
  </si>
  <si>
    <t>13,650,400</t>
  </si>
  <si>
    <t>119.04</t>
  </si>
  <si>
    <t>119.59</t>
  </si>
  <si>
    <t>116.84</t>
  </si>
  <si>
    <t>117.38</t>
  </si>
  <si>
    <t>12,794,100</t>
  </si>
  <si>
    <t>122.49</t>
  </si>
  <si>
    <t>122.87</t>
  </si>
  <si>
    <t>119.05</t>
  </si>
  <si>
    <t>119.36</t>
  </si>
  <si>
    <t>13,599,700</t>
  </si>
  <si>
    <t>122.03</t>
  </si>
  <si>
    <t>123.45</t>
  </si>
  <si>
    <t>121.53</t>
  </si>
  <si>
    <t>122.15</t>
  </si>
  <si>
    <t>11,207,400</t>
  </si>
  <si>
    <t>120.19</t>
  </si>
  <si>
    <t>120.48</t>
  </si>
  <si>
    <t>119.34</t>
  </si>
  <si>
    <t>120.03</t>
  </si>
  <si>
    <t>7,060,600</t>
  </si>
  <si>
    <t>121.85</t>
  </si>
  <si>
    <t>123.99</t>
  </si>
  <si>
    <t>120.45</t>
  </si>
  <si>
    <t>121.15</t>
  </si>
  <si>
    <t>11,378,400</t>
  </si>
  <si>
    <t>123.86</t>
  </si>
  <si>
    <t>12,874,200</t>
  </si>
  <si>
    <t>120.44</t>
  </si>
  <si>
    <t>121.84</t>
  </si>
  <si>
    <t>119.00</t>
  </si>
  <si>
    <t>120.71</t>
  </si>
  <si>
    <t>11,551,500</t>
  </si>
  <si>
    <t>119.51</t>
  </si>
  <si>
    <t>122.31</t>
  </si>
  <si>
    <t>118.25</t>
  </si>
  <si>
    <t>120.27</t>
  </si>
  <si>
    <t>17,937,600</t>
  </si>
  <si>
    <t>121.38</t>
  </si>
  <si>
    <t>122.16</t>
  </si>
  <si>
    <t>119.77</t>
  </si>
  <si>
    <t>120.23</t>
  </si>
  <si>
    <t>26,787,700</t>
  </si>
  <si>
    <t>115.04</t>
  </si>
  <si>
    <t>118.20</t>
  </si>
  <si>
    <t>114.86</t>
  </si>
  <si>
    <t>117.30</t>
  </si>
  <si>
    <t>14,573,600</t>
  </si>
  <si>
    <t>115.50</t>
  </si>
  <si>
    <t>116.03</t>
  </si>
  <si>
    <t>114.04</t>
  </si>
  <si>
    <t>115.73</t>
  </si>
  <si>
    <t>14,439,000</t>
  </si>
  <si>
    <t>114.65</t>
  </si>
  <si>
    <t>117.21</t>
  </si>
  <si>
    <t>113.20</t>
  </si>
  <si>
    <t>116.97</t>
  </si>
  <si>
    <t>34,785,400</t>
  </si>
  <si>
    <t>107.64</t>
  </si>
  <si>
    <t>108.80</t>
  </si>
  <si>
    <t>107.19</t>
  </si>
  <si>
    <t>108.22</t>
  </si>
  <si>
    <t>13,231,300</t>
  </si>
  <si>
    <t>106.91</t>
  </si>
  <si>
    <t>107.42</t>
  </si>
  <si>
    <t>106.30</t>
  </si>
  <si>
    <t>106.72</t>
  </si>
  <si>
    <t>10,774,600</t>
  </si>
  <si>
    <t>105.14</t>
  </si>
  <si>
    <t>106.76</t>
  </si>
  <si>
    <t>104.41</t>
  </si>
  <si>
    <t>106.64</t>
  </si>
  <si>
    <t>13,554,500</t>
  </si>
  <si>
    <t>105.48</t>
  </si>
  <si>
    <t>105.53</t>
  </si>
  <si>
    <t>103.71</t>
  </si>
  <si>
    <t>103.83</t>
  </si>
  <si>
    <t>24,609,300</t>
  </si>
  <si>
    <t>108.76</t>
  </si>
  <si>
    <t>109.13</t>
  </si>
  <si>
    <t>107.91</t>
  </si>
  <si>
    <t>107.99</t>
  </si>
  <si>
    <t>11,319,900</t>
  </si>
  <si>
    <t>107.43</t>
  </si>
  <si>
    <t>108.20</t>
  </si>
  <si>
    <t>105.94</t>
  </si>
  <si>
    <t>106.27</t>
  </si>
  <si>
    <t>17,446,200</t>
  </si>
  <si>
    <t>108.33</t>
  </si>
  <si>
    <t>109.08</t>
  </si>
  <si>
    <t>107.95</t>
  </si>
  <si>
    <t>108.70</t>
  </si>
  <si>
    <t>11,847,200</t>
  </si>
  <si>
    <t>111.57</t>
  </si>
  <si>
    <t>111.82</t>
  </si>
  <si>
    <t>110.37</t>
  </si>
  <si>
    <t>110.71</t>
  </si>
  <si>
    <t>13,843,800</t>
  </si>
  <si>
    <t>112.95</t>
  </si>
  <si>
    <t>114.79</t>
  </si>
  <si>
    <t>112.74</t>
  </si>
  <si>
    <t>113.97</t>
  </si>
  <si>
    <t>9,243,200</t>
  </si>
  <si>
    <t>112.46</t>
  </si>
  <si>
    <t>113.49</t>
  </si>
  <si>
    <t>111.40</t>
  </si>
  <si>
    <t>113.41</t>
  </si>
  <si>
    <t>10,457,300</t>
  </si>
  <si>
    <t>114.37</t>
  </si>
  <si>
    <t>113.32</t>
  </si>
  <si>
    <t>114.08</t>
  </si>
  <si>
    <t>12,355,500</t>
  </si>
  <si>
    <t>114.10</t>
  </si>
  <si>
    <t>114.20</t>
  </si>
  <si>
    <t>113.38</t>
  </si>
  <si>
    <t>113.93</t>
  </si>
  <si>
    <t>8,388,000</t>
  </si>
  <si>
    <t>117.20</t>
  </si>
  <si>
    <t>117.45</t>
  </si>
  <si>
    <t>114.17</t>
  </si>
  <si>
    <t>114.55</t>
  </si>
  <si>
    <t>12,835,500</t>
  </si>
  <si>
    <t>114.61</t>
  </si>
  <si>
    <t>117.32</t>
  </si>
  <si>
    <t>113.62</t>
  </si>
  <si>
    <t>117.01</t>
  </si>
  <si>
    <t>17,125,100</t>
  </si>
  <si>
    <t>112.11</t>
  </si>
  <si>
    <t>113.09</t>
  </si>
  <si>
    <t>111.26</t>
  </si>
  <si>
    <t>12,536,500</t>
  </si>
  <si>
    <t>114.11</t>
  </si>
  <si>
    <t>114.43</t>
  </si>
  <si>
    <t>112.62</t>
  </si>
  <si>
    <t>113.01</t>
  </si>
  <si>
    <t>12,737,300</t>
  </si>
  <si>
    <t>113.64</t>
  </si>
  <si>
    <t>114.30</t>
  </si>
  <si>
    <t>113.02</t>
  </si>
  <si>
    <t>14,002,300</t>
  </si>
  <si>
    <t>115.94</t>
  </si>
  <si>
    <t>116.61</t>
  </si>
  <si>
    <t>115.03</t>
  </si>
  <si>
    <t>10,205,700</t>
  </si>
  <si>
    <t>114.98</t>
  </si>
  <si>
    <t>116.90</t>
  </si>
  <si>
    <t>114.87</t>
  </si>
  <si>
    <t>115.96</t>
  </si>
  <si>
    <t>10,242,900</t>
  </si>
  <si>
    <t>113.67</t>
  </si>
  <si>
    <t>114.78</t>
  </si>
  <si>
    <t>112.27</t>
  </si>
  <si>
    <t>112.87</t>
  </si>
  <si>
    <t>13,355,100</t>
  </si>
  <si>
    <t>117.55</t>
  </si>
  <si>
    <t>115.95</t>
  </si>
  <si>
    <t>116.62</t>
  </si>
  <si>
    <t>10,204,500</t>
  </si>
  <si>
    <t>122.63</t>
  </si>
  <si>
    <t>123.46</t>
  </si>
  <si>
    <t>120.05</t>
  </si>
  <si>
    <t>120.33</t>
  </si>
  <si>
    <t>118.33</t>
  </si>
  <si>
    <t>10,443,100</t>
  </si>
  <si>
    <t>120.61</t>
  </si>
  <si>
    <t>119.88</t>
  </si>
  <si>
    <t>121.88</t>
  </si>
  <si>
    <t>119.85</t>
  </si>
  <si>
    <t>8,892,800</t>
  </si>
  <si>
    <t>121.09</t>
  </si>
  <si>
    <t>120.12</t>
  </si>
  <si>
    <t>121.48</t>
  </si>
  <si>
    <t>119.46</t>
  </si>
  <si>
    <t>10,410,600</t>
  </si>
  <si>
    <t>118.22</t>
  </si>
  <si>
    <t>119.38</t>
  </si>
  <si>
    <t>117.40</t>
  </si>
  <si>
    <t>9,753,200</t>
  </si>
  <si>
    <t>120.95</t>
  </si>
  <si>
    <t>121.55</t>
  </si>
  <si>
    <t>119.14</t>
  </si>
  <si>
    <t>119.96</t>
  </si>
  <si>
    <t>117.97</t>
  </si>
  <si>
    <t>15,332,200</t>
  </si>
  <si>
    <t>116.82</t>
  </si>
  <si>
    <t>120.00</t>
  </si>
  <si>
    <t>116.66</t>
  </si>
  <si>
    <t>119.45</t>
  </si>
  <si>
    <t>117.46</t>
  </si>
  <si>
    <t>18,115,500</t>
  </si>
  <si>
    <t>115.38</t>
  </si>
  <si>
    <t>115.81</t>
  </si>
  <si>
    <t>114.42</t>
  </si>
  <si>
    <t>114.97</t>
  </si>
  <si>
    <t>113.06</t>
  </si>
  <si>
    <t>14,008,900</t>
  </si>
  <si>
    <t>114.90</t>
  </si>
  <si>
    <t>115.40</t>
  </si>
  <si>
    <t>113.66</t>
  </si>
  <si>
    <t>114.75</t>
  </si>
  <si>
    <t>112.84</t>
  </si>
  <si>
    <t>13,147,200</t>
  </si>
  <si>
    <t>115.01</t>
  </si>
  <si>
    <t>115.07</t>
  </si>
  <si>
    <t>111.60</t>
  </si>
  <si>
    <t>113.84</t>
  </si>
  <si>
    <t>111.95</t>
  </si>
  <si>
    <t>17,213,200</t>
  </si>
  <si>
    <t>116.70</t>
  </si>
  <si>
    <t>117.18</t>
  </si>
  <si>
    <t>115.23</t>
  </si>
  <si>
    <t>12,356,300</t>
  </si>
  <si>
    <t>117.92</t>
  </si>
  <si>
    <t>116.51</t>
  </si>
  <si>
    <t>116.74</t>
  </si>
  <si>
    <t>114.80</t>
  </si>
  <si>
    <t>11,707,700</t>
  </si>
  <si>
    <t>118.89</t>
  </si>
  <si>
    <t>119.52</t>
  </si>
  <si>
    <t>117.53</t>
  </si>
  <si>
    <t>8,544,500</t>
  </si>
  <si>
    <t>119.58</t>
  </si>
  <si>
    <t>121.04</t>
  </si>
  <si>
    <t>119.28</t>
  </si>
  <si>
    <t>120.73</t>
  </si>
  <si>
    <t>118.72</t>
  </si>
  <si>
    <t>7,163,400</t>
  </si>
  <si>
    <t>121.49</t>
  </si>
  <si>
    <t>122.17</t>
  </si>
  <si>
    <t>120.92</t>
  </si>
  <si>
    <t>7,820,900</t>
  </si>
  <si>
    <t>125.45</t>
  </si>
  <si>
    <t>126.06</t>
  </si>
  <si>
    <t>122.77</t>
  </si>
  <si>
    <t>123.59</t>
  </si>
  <si>
    <t>121.54</t>
  </si>
  <si>
    <t>8,521,400</t>
  </si>
  <si>
    <t>124.29</t>
  </si>
  <si>
    <t>125.22</t>
  </si>
  <si>
    <t>124.15</t>
  </si>
  <si>
    <t>125.16</t>
  </si>
  <si>
    <t>123.08</t>
  </si>
  <si>
    <t>11,790,000</t>
  </si>
  <si>
    <t>120.18</t>
  </si>
  <si>
    <t>123.06</t>
  </si>
  <si>
    <t>122.96</t>
  </si>
  <si>
    <t>11,197,000</t>
  </si>
  <si>
    <t>125.78</t>
  </si>
  <si>
    <t>126.10</t>
  </si>
  <si>
    <t>123.31</t>
  </si>
  <si>
    <t>121.41</t>
  </si>
  <si>
    <t>20,090,000</t>
  </si>
  <si>
    <t>126.24</t>
  </si>
  <si>
    <t>126.32</t>
  </si>
  <si>
    <t>122.65</t>
  </si>
  <si>
    <t>123.90</t>
  </si>
  <si>
    <t>35,442,800</t>
  </si>
  <si>
    <t>134.07</t>
  </si>
  <si>
    <t>134.51</t>
  </si>
  <si>
    <t>132.65</t>
  </si>
  <si>
    <t>134.05</t>
  </si>
  <si>
    <t>131.82</t>
  </si>
  <si>
    <t>18,278,300</t>
  </si>
  <si>
    <t>131.00</t>
  </si>
  <si>
    <t>133.03</t>
  </si>
  <si>
    <t>130.20</t>
  </si>
  <si>
    <t>131.65</t>
  </si>
  <si>
    <t>129.46</t>
  </si>
  <si>
    <t>16,123,600</t>
  </si>
  <si>
    <t>133.87</t>
  </si>
  <si>
    <t>132.30</t>
  </si>
  <si>
    <t>132.55</t>
  </si>
  <si>
    <t>22,631,700</t>
  </si>
  <si>
    <t>126.99</t>
  </si>
  <si>
    <t>127.77</t>
  </si>
  <si>
    <t>125.19</t>
  </si>
  <si>
    <t>125.33</t>
  </si>
  <si>
    <t>123.25</t>
  </si>
  <si>
    <t>11,172,200</t>
  </si>
  <si>
    <t>125.35</t>
  </si>
  <si>
    <t>126.82</t>
  </si>
  <si>
    <t>124.17</t>
  </si>
  <si>
    <t>125.79</t>
  </si>
  <si>
    <t>123.70</t>
  </si>
  <si>
    <t>10,846,800</t>
  </si>
  <si>
    <t>124.91</t>
  </si>
  <si>
    <t>124.96</t>
  </si>
  <si>
    <t>122.91</t>
  </si>
  <si>
    <t>123.23</t>
  </si>
  <si>
    <t>121.18</t>
  </si>
  <si>
    <t>15,979,200</t>
  </si>
  <si>
    <t>128.46</t>
  </si>
  <si>
    <t>129.73</t>
  </si>
  <si>
    <t>127.49</t>
  </si>
  <si>
    <t>127.66</t>
  </si>
  <si>
    <t>125.54</t>
  </si>
  <si>
    <t>17,919,700</t>
  </si>
  <si>
    <t>125.00</t>
  </si>
  <si>
    <t>127.13</t>
  </si>
  <si>
    <t>124.71</t>
  </si>
  <si>
    <t>126.57</t>
  </si>
  <si>
    <t>124.47</t>
  </si>
  <si>
    <t>9,868,800</t>
  </si>
  <si>
    <t>126.62</t>
  </si>
  <si>
    <t>124.25</t>
  </si>
  <si>
    <t>125.76</t>
  </si>
  <si>
    <t>123.67</t>
  </si>
  <si>
    <t>18,092,500</t>
  </si>
  <si>
    <t>121.45</t>
  </si>
  <si>
    <t>120.53</t>
  </si>
  <si>
    <t>118.53</t>
  </si>
  <si>
    <t>8,690,200</t>
  </si>
  <si>
    <t>119.09</t>
  </si>
  <si>
    <t>119.94</t>
  </si>
  <si>
    <t>118.19</t>
  </si>
  <si>
    <t>119.43</t>
  </si>
  <si>
    <t>117.44</t>
  </si>
  <si>
    <t>10,144,800</t>
  </si>
  <si>
    <t>117.73</t>
  </si>
  <si>
    <t>117.69</t>
  </si>
  <si>
    <t>8,295,500</t>
  </si>
  <si>
    <t>119.50</t>
  </si>
  <si>
    <t>120.67</t>
  </si>
  <si>
    <t>117.29</t>
  </si>
  <si>
    <t>116.40</t>
  </si>
  <si>
    <t>10,748,000</t>
  </si>
  <si>
    <t>118.58</t>
  </si>
  <si>
    <t>120.49</t>
  </si>
  <si>
    <t>118.27</t>
  </si>
  <si>
    <t>118.28</t>
  </si>
  <si>
    <t>9,306,400</t>
  </si>
  <si>
    <t>117.93</t>
  </si>
  <si>
    <t>117.58</t>
  </si>
  <si>
    <t>119.29</t>
  </si>
  <si>
    <t>117.31</t>
  </si>
  <si>
    <t>13,696,000</t>
  </si>
  <si>
    <t>123.81</t>
  </si>
  <si>
    <t>118.75</t>
  </si>
  <si>
    <t>118.97</t>
  </si>
  <si>
    <t>116.99</t>
  </si>
  <si>
    <t>25,762,800</t>
  </si>
  <si>
    <t>114.36</t>
  </si>
  <si>
    <t>117.43</t>
  </si>
  <si>
    <t>115.88</t>
  </si>
  <si>
    <t>113.95</t>
  </si>
  <si>
    <t>27,662,400</t>
  </si>
  <si>
    <t>108.73</t>
  </si>
  <si>
    <t>110.23</t>
  </si>
  <si>
    <t>107.27</t>
  </si>
  <si>
    <t>110.15</t>
  </si>
  <si>
    <t>108.32</t>
  </si>
  <si>
    <t>12,145,700</t>
  </si>
  <si>
    <t>110.83</t>
  </si>
  <si>
    <t>111.51</t>
  </si>
  <si>
    <t>108.42</t>
  </si>
  <si>
    <t>108.87</t>
  </si>
  <si>
    <t>107.06</t>
  </si>
  <si>
    <t>17,885,000</t>
  </si>
  <si>
    <t>108.18</t>
  </si>
  <si>
    <t>108.97</t>
  </si>
  <si>
    <t>105.95</t>
  </si>
  <si>
    <t>106.75</t>
  </si>
  <si>
    <t>104.98</t>
  </si>
  <si>
    <t>18,031,600</t>
  </si>
  <si>
    <t>113.78</t>
  </si>
  <si>
    <t>114.00</t>
  </si>
  <si>
    <t>111.47</t>
  </si>
  <si>
    <t>112.28</t>
  </si>
  <si>
    <t>110.41</t>
  </si>
  <si>
    <t>16,172,300</t>
  </si>
  <si>
    <t>111.87</t>
  </si>
  <si>
    <t>116.00</t>
  </si>
  <si>
    <t>111.70</t>
  </si>
  <si>
    <t>112.08</t>
  </si>
  <si>
    <t>32,926,100</t>
  </si>
  <si>
    <t>104.78</t>
  </si>
  <si>
    <t>108.04</t>
  </si>
  <si>
    <t>102.19</t>
  </si>
  <si>
    <t>107.73</t>
  </si>
  <si>
    <t>40,522,800</t>
  </si>
  <si>
    <t>106.86</t>
  </si>
  <si>
    <t>108.45</t>
  </si>
  <si>
    <t>101.37</t>
  </si>
  <si>
    <t>104.18</t>
  </si>
  <si>
    <t>102.45</t>
  </si>
  <si>
    <t>53,133,400</t>
  </si>
  <si>
    <t>100.60</t>
  </si>
  <si>
    <t>107.04</t>
  </si>
  <si>
    <t>95.73</t>
  </si>
  <si>
    <t>103.04</t>
  </si>
  <si>
    <t>74,981,900</t>
  </si>
  <si>
    <t>108.26</t>
  </si>
  <si>
    <t>109.00</t>
  </si>
  <si>
    <t>97.75</t>
  </si>
  <si>
    <t>99.37</t>
  </si>
  <si>
    <t>97.72</t>
  </si>
  <si>
    <t>52,100,200</t>
  </si>
  <si>
    <t>106.62</t>
  </si>
  <si>
    <t>114.12</t>
  </si>
  <si>
    <t>102.64</t>
  </si>
  <si>
    <t>105.98</t>
  </si>
  <si>
    <t>104.22</t>
  </si>
  <si>
    <t>61,386,600</t>
  </si>
  <si>
    <t>117.57</t>
  </si>
  <si>
    <t>118.87</t>
  </si>
  <si>
    <t>111.30</t>
  </si>
  <si>
    <t>116.54</t>
  </si>
  <si>
    <t>114.60</t>
  </si>
  <si>
    <t>57,154,500</t>
  </si>
  <si>
    <t>125.64</t>
  </si>
  <si>
    <t>130.67</t>
  </si>
  <si>
    <t>125.50</t>
  </si>
  <si>
    <t>129.33</t>
  </si>
  <si>
    <t>127.18</t>
  </si>
  <si>
    <t>30,607,600</t>
  </si>
  <si>
    <t>131.96</t>
  </si>
  <si>
    <t>132.83</t>
  </si>
  <si>
    <t>129.15</t>
  </si>
  <si>
    <t>129.79</t>
  </si>
  <si>
    <t>127.63</t>
  </si>
  <si>
    <t>21,240,900</t>
  </si>
  <si>
    <t>132.75</t>
  </si>
  <si>
    <t>134.10</t>
  </si>
  <si>
    <t>131.53</t>
  </si>
  <si>
    <t>130.49</t>
  </si>
  <si>
    <t>11,627,500</t>
  </si>
  <si>
    <t>130.03</t>
  </si>
  <si>
    <t>132.87</t>
  </si>
  <si>
    <t>128.00</t>
  </si>
  <si>
    <t>132.23</t>
  </si>
  <si>
    <t>12,183,800</t>
  </si>
  <si>
    <t>133.50</t>
  </si>
  <si>
    <t>134.21</t>
  </si>
  <si>
    <t>131.40</t>
  </si>
  <si>
    <t>130.23</t>
  </si>
  <si>
    <t>13,271,500</t>
  </si>
  <si>
    <t>133.45</t>
  </si>
  <si>
    <t>137.79</t>
  </si>
  <si>
    <t>132.88</t>
  </si>
  <si>
    <t>135.63</t>
  </si>
  <si>
    <t>133.38</t>
  </si>
  <si>
    <t>16,688,300</t>
  </si>
  <si>
    <t>133.53</t>
  </si>
  <si>
    <t>134.66</t>
  </si>
  <si>
    <t>131.13</t>
  </si>
  <si>
    <t>132.24</t>
  </si>
  <si>
    <t>130.04</t>
  </si>
  <si>
    <t>15,933,500</t>
  </si>
  <si>
    <t>132.94</t>
  </si>
  <si>
    <t>136.24</t>
  </si>
  <si>
    <t>132.35</t>
  </si>
  <si>
    <t>130.54</t>
  </si>
  <si>
    <t>17,943,400</t>
  </si>
  <si>
    <t>136.33</t>
  </si>
  <si>
    <t>136.43</t>
  </si>
  <si>
    <t>133.63</t>
  </si>
  <si>
    <t>134.48</t>
  </si>
  <si>
    <t>14,019,000</t>
  </si>
  <si>
    <t>133.99</t>
  </si>
  <si>
    <t>136.47</t>
  </si>
  <si>
    <t>133.30</t>
  </si>
  <si>
    <t>135.14</t>
  </si>
  <si>
    <t>132.89</t>
  </si>
  <si>
    <t>13,970,300</t>
  </si>
  <si>
    <t>137.18</t>
  </si>
  <si>
    <t>138.99</t>
  </si>
  <si>
    <t>136.37</t>
  </si>
  <si>
    <t>136.91</t>
  </si>
  <si>
    <t>134.63</t>
  </si>
  <si>
    <t>23,646,800</t>
  </si>
  <si>
    <t>145.07</t>
  </si>
  <si>
    <t>145.20</t>
  </si>
  <si>
    <t>141.87</t>
  </si>
  <si>
    <t>143.20</t>
  </si>
  <si>
    <t>140.82</t>
  </si>
  <si>
    <t>16,333,800</t>
  </si>
  <si>
    <t>146.38</t>
  </si>
  <si>
    <t>146.87</t>
  </si>
  <si>
    <t>142.50</t>
  </si>
  <si>
    <t>142.74</t>
  </si>
  <si>
    <t>140.37</t>
  </si>
  <si>
    <t>20,950,100</t>
  </si>
  <si>
    <t>140.16</t>
  </si>
  <si>
    <t>148.43</t>
  </si>
  <si>
    <t>140.03</t>
  </si>
  <si>
    <t>147.57</t>
  </si>
  <si>
    <t>145.12</t>
  </si>
  <si>
    <t>33,897,000</t>
  </si>
  <si>
    <t>141.35</t>
  </si>
  <si>
    <t>141.82</t>
  </si>
  <si>
    <t>139.45</t>
  </si>
  <si>
    <t>141.10</t>
  </si>
  <si>
    <t>138.75</t>
  </si>
  <si>
    <t>17,381,900</t>
  </si>
  <si>
    <t>134.77</t>
  </si>
  <si>
    <t>140.28</t>
  </si>
  <si>
    <t>134.34</t>
  </si>
  <si>
    <t>138.35</t>
  </si>
  <si>
    <t>136.05</t>
  </si>
  <si>
    <t>20,516,300</t>
  </si>
  <si>
    <t>138.40</t>
  </si>
  <si>
    <t>138.95</t>
  </si>
  <si>
    <t>135.28</t>
  </si>
  <si>
    <t>137.14</t>
  </si>
  <si>
    <t>134.86</t>
  </si>
  <si>
    <t>23,880,900</t>
  </si>
  <si>
    <t>138.16</t>
  </si>
  <si>
    <t>141.33</t>
  </si>
  <si>
    <t>136.04</t>
  </si>
  <si>
    <t>139.02</t>
  </si>
  <si>
    <t>136.71</t>
  </si>
  <si>
    <t>29,094,800</t>
  </si>
  <si>
    <t>135.99</t>
  </si>
  <si>
    <t>137.95</t>
  </si>
  <si>
    <t>132.54</t>
  </si>
  <si>
    <t>130.34</t>
  </si>
  <si>
    <t>33,484,200</t>
  </si>
  <si>
    <t>Mar 11, 2026</t>
  </si>
  <si>
    <t>6,796.75</t>
  </si>
  <si>
    <t>6,822.50</t>
  </si>
  <si>
    <t>6,782.50</t>
  </si>
  <si>
    <t>6,805.25</t>
  </si>
  <si>
    <t>S&amp;P 500 (^GSPC)</t>
  </si>
  <si>
    <t>6,800.75</t>
  </si>
  <si>
    <t>6,852.00</t>
  </si>
  <si>
    <t>6,762.50</t>
  </si>
  <si>
    <t>6,787.25</t>
  </si>
  <si>
    <t>2,265,287</t>
  </si>
  <si>
    <t>6,685.50</t>
  </si>
  <si>
    <t>6,818.50</t>
  </si>
  <si>
    <t>6,584.50</t>
  </si>
  <si>
    <t>6,801.00</t>
  </si>
  <si>
    <t>6,826.00</t>
  </si>
  <si>
    <t>6,854.00</t>
  </si>
  <si>
    <t>6,715.75</t>
  </si>
  <si>
    <t>6,743.75</t>
  </si>
  <si>
    <t>1,940,173</t>
  </si>
  <si>
    <t>6,883.25</t>
  </si>
  <si>
    <t>6,900.75</t>
  </si>
  <si>
    <t>6,777.00</t>
  </si>
  <si>
    <t>6,835.25</t>
  </si>
  <si>
    <t>1,948,470</t>
  </si>
  <si>
    <t>6,813.25</t>
  </si>
  <si>
    <t>6,894.00</t>
  </si>
  <si>
    <t>6,773.50</t>
  </si>
  <si>
    <t>6,876.00</t>
  </si>
  <si>
    <t>1,546,814</t>
  </si>
  <si>
    <t>6,883.50</t>
  </si>
  <si>
    <t>6,886.00</t>
  </si>
  <si>
    <t>6,718.75</t>
  </si>
  <si>
    <t>6,824.75</t>
  </si>
  <si>
    <t>2,259,359</t>
  </si>
  <si>
    <t>6,820.00</t>
  </si>
  <si>
    <t>6,911.25</t>
  </si>
  <si>
    <t>6,768.50</t>
  </si>
  <si>
    <t>6,888.25</t>
  </si>
  <si>
    <t>1,844,835</t>
  </si>
  <si>
    <t>6,899.00</t>
  </si>
  <si>
    <t>6,915.50</t>
  </si>
  <si>
    <t>6,841.50</t>
  </si>
  <si>
    <t>6,889.00</t>
  </si>
  <si>
    <t>1,638,910</t>
  </si>
  <si>
    <t>6,965.00</t>
  </si>
  <si>
    <t>6,970.75</t>
  </si>
  <si>
    <t>6,870.75</t>
  </si>
  <si>
    <t>6,920.00</t>
  </si>
  <si>
    <t>1,548,837</t>
  </si>
  <si>
    <t>6,900.25</t>
  </si>
  <si>
    <t>6,983.75</t>
  </si>
  <si>
    <t>6,892.25</t>
  </si>
  <si>
    <t>6,959.75</t>
  </si>
  <si>
    <t>1,062,293</t>
  </si>
  <si>
    <t>6,858.25</t>
  </si>
  <si>
    <t>6,912.75</t>
  </si>
  <si>
    <t>6,828.50</t>
  </si>
  <si>
    <t>6,903.75</t>
  </si>
  <si>
    <t>1,335,317</t>
  </si>
  <si>
    <t>6,918.00</t>
  </si>
  <si>
    <t>6,930.25</t>
  </si>
  <si>
    <t>6,832.75</t>
  </si>
  <si>
    <t>6,851.50</t>
  </si>
  <si>
    <t>1,462,094</t>
  </si>
  <si>
    <t>6,874.25</t>
  </si>
  <si>
    <t>6,931.50</t>
  </si>
  <si>
    <t>6,847.25</t>
  </si>
  <si>
    <t>6,923.25</t>
  </si>
  <si>
    <t>1,816,863</t>
  </si>
  <si>
    <t>6,891.75</t>
  </si>
  <si>
    <t>6,912.50</t>
  </si>
  <si>
    <t>6,847.75</t>
  </si>
  <si>
    <t>6,877.00</t>
  </si>
  <si>
    <t>1,286,455</t>
  </si>
  <si>
    <t>6,862.75</t>
  </si>
  <si>
    <t>6,925.75</t>
  </si>
  <si>
    <t>6,848.75</t>
  </si>
  <si>
    <t>6,894.25</t>
  </si>
  <si>
    <t>1,346,435</t>
  </si>
  <si>
    <t>6,852.50</t>
  </si>
  <si>
    <t>6,885.50</t>
  </si>
  <si>
    <t>6,791.00</t>
  </si>
  <si>
    <t>6,860.50</t>
  </si>
  <si>
    <t>1,837,384</t>
  </si>
  <si>
    <t>6,865.50</t>
  </si>
  <si>
    <t>6,897.75</t>
  </si>
  <si>
    <t>6,808.75</t>
  </si>
  <si>
    <t>6,850.50</t>
  </si>
  <si>
    <t>1,803,723</t>
  </si>
  <si>
    <t>6,964.50</t>
  </si>
  <si>
    <t>6,992.75</t>
  </si>
  <si>
    <t>6,842.00</t>
  </si>
  <si>
    <t>6,851.00</t>
  </si>
  <si>
    <t>2,078,744</t>
  </si>
  <si>
    <t>6,971.50</t>
  </si>
  <si>
    <t>7,011.50</t>
  </si>
  <si>
    <t>6,931.00</t>
  </si>
  <si>
    <t>6,960.50</t>
  </si>
  <si>
    <t>1,498,739</t>
  </si>
  <si>
    <t>6,985.00</t>
  </si>
  <si>
    <t>7,006.50</t>
  </si>
  <si>
    <t>6,957.00</t>
  </si>
  <si>
    <t>6,961.50</t>
  </si>
  <si>
    <t>1,187,062</t>
  </si>
  <si>
    <t>6,960.25</t>
  </si>
  <si>
    <t>7,000.50</t>
  </si>
  <si>
    <t>6,921.00</t>
  </si>
  <si>
    <t>6,983.25</t>
  </si>
  <si>
    <t>1,198,044</t>
  </si>
  <si>
    <t>6,785.50</t>
  </si>
  <si>
    <t>6,965.50</t>
  </si>
  <si>
    <t>6,751.50</t>
  </si>
  <si>
    <t>6,952.75</t>
  </si>
  <si>
    <t>1,796,075</t>
  </si>
  <si>
    <t>6,935.25</t>
  </si>
  <si>
    <t>6,785.00</t>
  </si>
  <si>
    <t>6,820.75</t>
  </si>
  <si>
    <t>2,107,676</t>
  </si>
  <si>
    <t>6,934.00</t>
  </si>
  <si>
    <t>6,965.75</t>
  </si>
  <si>
    <t>6,862.50</t>
  </si>
  <si>
    <t>6,906.25</t>
  </si>
  <si>
    <t>2,145,116</t>
  </si>
  <si>
    <t>7,004.25</t>
  </si>
  <si>
    <t>7,027.25</t>
  </si>
  <si>
    <t>6,886.25</t>
  </si>
  <si>
    <t>6,941.75</t>
  </si>
  <si>
    <t>1,942,807</t>
  </si>
  <si>
    <t>6,938.50</t>
  </si>
  <si>
    <t>7,017.25</t>
  </si>
  <si>
    <t>6,864.50</t>
  </si>
  <si>
    <t>7,002.50</t>
  </si>
  <si>
    <t>1,491,899</t>
  </si>
  <si>
    <t>6,995.00</t>
  </si>
  <si>
    <t>6,917.50</t>
  </si>
  <si>
    <t>2,046,596</t>
  </si>
  <si>
    <t>7,021.50</t>
  </si>
  <si>
    <t>7,029.50</t>
  </si>
  <si>
    <t>6,898.25</t>
  </si>
  <si>
    <t>1,947,645</t>
  </si>
  <si>
    <t>7,010.25</t>
  </si>
  <si>
    <t>7,043.00</t>
  </si>
  <si>
    <t>6,977.25</t>
  </si>
  <si>
    <t>7,007.25</t>
  </si>
  <si>
    <t>1,187,287</t>
  </si>
  <si>
    <t>6,977.00</t>
  </si>
  <si>
    <t>7,018.50</t>
  </si>
  <si>
    <t>6,972.00</t>
  </si>
  <si>
    <t>7,008.50</t>
  </si>
  <si>
    <t>6,904.00</t>
  </si>
  <si>
    <t>6,995.50</t>
  </si>
  <si>
    <t>6,879.00</t>
  </si>
  <si>
    <t>6,981.25</t>
  </si>
  <si>
    <t>1,062,544</t>
  </si>
  <si>
    <t>6,938.00</t>
  </si>
  <si>
    <t>6,964.00</t>
  </si>
  <si>
    <t>6,924.75</t>
  </si>
  <si>
    <t>6,945.75</t>
  </si>
  <si>
    <t>1,221,966</t>
  </si>
  <si>
    <t>6,969.00</t>
  </si>
  <si>
    <t>6,945.00</t>
  </si>
  <si>
    <t>1,336,659</t>
  </si>
  <si>
    <t>6,839.00</t>
  </si>
  <si>
    <t>6,945.25</t>
  </si>
  <si>
    <t>6,814.50</t>
  </si>
  <si>
    <t>6,910.00</t>
  </si>
  <si>
    <t>2,200,553</t>
  </si>
  <si>
    <t>6,918.25</t>
  </si>
  <si>
    <t>6,935.00</t>
  </si>
  <si>
    <t>6,822.25</t>
  </si>
  <si>
    <t>6,829.50</t>
  </si>
  <si>
    <t>2,391,547</t>
  </si>
  <si>
    <t>6,986.75</t>
  </si>
  <si>
    <t>7,007.00</t>
  </si>
  <si>
    <t>6,976.75</t>
  </si>
  <si>
    <t>1,297,479</t>
  </si>
  <si>
    <t>6,955.75</t>
  </si>
  <si>
    <t>6,949.50</t>
  </si>
  <si>
    <t>6,981.75</t>
  </si>
  <si>
    <t>1,293,668</t>
  </si>
  <si>
    <t>6,998.50</t>
  </si>
  <si>
    <t>6,966.25</t>
  </si>
  <si>
    <t>1,768,305</t>
  </si>
  <si>
    <t>7,014.00</t>
  </si>
  <si>
    <t>7,036.25</t>
  </si>
  <si>
    <t>7,001.75</t>
  </si>
  <si>
    <t>1,376,658</t>
  </si>
  <si>
    <t>7,025.25</t>
  </si>
  <si>
    <t>6,950.00</t>
  </si>
  <si>
    <t>7,016.50</t>
  </si>
  <si>
    <t>1,063,552</t>
  </si>
  <si>
    <t>6,973.25</t>
  </si>
  <si>
    <t>7,017.50</t>
  </si>
  <si>
    <t>6,954.25</t>
  </si>
  <si>
    <t>7,005.00</t>
  </si>
  <si>
    <t>1,342,341</t>
  </si>
  <si>
    <t>6,967.50</t>
  </si>
  <si>
    <t>6,977.75</t>
  </si>
  <si>
    <t>6,962.00</t>
  </si>
  <si>
    <t>1,303,097</t>
  </si>
  <si>
    <t>6,988.50</t>
  </si>
  <si>
    <t>7,006.75</t>
  </si>
  <si>
    <t>6,958.00</t>
  </si>
  <si>
    <t>6,963.25</t>
  </si>
  <si>
    <t>1,264,816</t>
  </si>
  <si>
    <t>6,945.50</t>
  </si>
  <si>
    <t>6,991.50</t>
  </si>
  <si>
    <t>6,987.75</t>
  </si>
  <si>
    <t>1,192,527</t>
  </si>
  <si>
    <t>6,911.50</t>
  </si>
  <si>
    <t>6,963.50</t>
  </si>
  <si>
    <t>6,899.50</t>
  </si>
  <si>
    <t>6,943.75</t>
  </si>
  <si>
    <t>1,262,018</t>
  </si>
  <si>
    <t>6,902.00</t>
  </si>
  <si>
    <t>6,939.75</t>
  </si>
  <si>
    <t>6,866.75</t>
  </si>
  <si>
    <t>6,900.50</t>
  </si>
  <si>
    <t>1,571,467</t>
  </si>
  <si>
    <t>6,951.50</t>
  </si>
  <si>
    <t>6,890.25</t>
  </si>
  <si>
    <t>6,892.50</t>
  </si>
  <si>
    <t>6,956.50</t>
  </si>
  <si>
    <t>6,940.75</t>
  </si>
  <si>
    <t>6,944.25</t>
  </si>
  <si>
    <t>6,980.50</t>
  </si>
  <si>
    <t>6,984.75</t>
  </si>
  <si>
    <t>6,936.00</t>
  </si>
  <si>
    <t>6,955.00</t>
  </si>
  <si>
    <t>6,979.50</t>
  </si>
  <si>
    <t>6,994.00</t>
  </si>
  <si>
    <t>6,979.25</t>
  </si>
  <si>
    <t>6,959.50</t>
  </si>
  <si>
    <t>6,988.00</t>
  </si>
  <si>
    <t>6,952.50</t>
  </si>
  <si>
    <t>6,982.50</t>
  </si>
  <si>
    <t>6,930.75</t>
  </si>
  <si>
    <t>6,963.75</t>
  </si>
  <si>
    <t>6,913.25</t>
  </si>
  <si>
    <t>6,961.00</t>
  </si>
  <si>
    <t>6,936.25</t>
  </si>
  <si>
    <t>6,772.25</t>
  </si>
  <si>
    <t>6,802.75</t>
  </si>
  <si>
    <t>6,768.00</t>
  </si>
  <si>
    <t>6,796.54</t>
  </si>
  <si>
    <t>1,403,081</t>
  </si>
  <si>
    <t>6,739.25</t>
  </si>
  <si>
    <t>6,720.25</t>
  </si>
  <si>
    <t>6,778.25</t>
  </si>
  <si>
    <t>6,796.00</t>
  </si>
  <si>
    <t>6,826.75</t>
  </si>
  <si>
    <t>6,723.75</t>
  </si>
  <si>
    <t>6,726.50</t>
  </si>
  <si>
    <t>6,825.25</t>
  </si>
  <si>
    <t>6,833.75</t>
  </si>
  <si>
    <t>6,762.00</t>
  </si>
  <si>
    <t>1,070,240</t>
  </si>
  <si>
    <t>6,831.00</t>
  </si>
  <si>
    <t>6,872.50</t>
  </si>
  <si>
    <t>6,806.25</t>
  </si>
  <si>
    <t>6,823.00</t>
  </si>
  <si>
    <t>1,771,047</t>
  </si>
  <si>
    <t>6,914.00</t>
  </si>
  <si>
    <t>6,805.00</t>
  </si>
  <si>
    <t>6,830.75</t>
  </si>
  <si>
    <t>2,609,362</t>
  </si>
  <si>
    <t>6,887.00</t>
  </si>
  <si>
    <t>6,928.75</t>
  </si>
  <si>
    <t>6,817.50</t>
  </si>
  <si>
    <t>6,907.25</t>
  </si>
  <si>
    <t>1,815,978</t>
  </si>
  <si>
    <t>6,908.00</t>
  </si>
  <si>
    <t>1,473,707</t>
  </si>
  <si>
    <t>6,865.00</t>
  </si>
  <si>
    <t>6,872.75</t>
  </si>
  <si>
    <t>6,844.00</t>
  </si>
  <si>
    <t>6,848.25</t>
  </si>
  <si>
    <t>1,008,518</t>
  </si>
  <si>
    <t>6,883.00</t>
  </si>
  <si>
    <t>6,893.75</t>
  </si>
  <si>
    <t>6,855.75</t>
  </si>
  <si>
    <t>1,257,776</t>
  </si>
  <si>
    <t>6,905.00</t>
  </si>
  <si>
    <t>6,856.75</t>
  </si>
  <si>
    <t>6,878.25</t>
  </si>
  <si>
    <t>1,336,540</t>
  </si>
  <si>
    <t>6,866.00</t>
  </si>
  <si>
    <t>6,880.75</t>
  </si>
  <si>
    <t>6,836.25</t>
  </si>
  <si>
    <t>1,323,676</t>
  </si>
  <si>
    <t>6,843.00</t>
  </si>
  <si>
    <t>6,873.25</t>
  </si>
  <si>
    <t>6,862.00</t>
  </si>
  <si>
    <t>1,310,103</t>
  </si>
  <si>
    <t>6,829.00</t>
  </si>
  <si>
    <t>6,863.50</t>
  </si>
  <si>
    <t>6,812.25</t>
  </si>
  <si>
    <t>6,840.25</t>
  </si>
  <si>
    <t>1,455,018</t>
  </si>
  <si>
    <t>6,854.75</t>
  </si>
  <si>
    <t>6,802.00</t>
  </si>
  <si>
    <t>1,472,111</t>
  </si>
  <si>
    <t>6,830.25</t>
  </si>
  <si>
    <t>6,863.75</t>
  </si>
  <si>
    <t>6,824.25</t>
  </si>
  <si>
    <t>6,859.50</t>
  </si>
  <si>
    <t>6,781.00</t>
  </si>
  <si>
    <t>6,846.75</t>
  </si>
  <si>
    <t>6,828.00</t>
  </si>
  <si>
    <t>1,459,184</t>
  </si>
  <si>
    <t>6,726.25</t>
  </si>
  <si>
    <t>6,792.50</t>
  </si>
  <si>
    <t>6,674.50</t>
  </si>
  <si>
    <t>6,781.50</t>
  </si>
  <si>
    <t>1,656,062</t>
  </si>
  <si>
    <t>6,654.75</t>
  </si>
  <si>
    <t>6,731.75</t>
  </si>
  <si>
    <t>6,625.00</t>
  </si>
  <si>
    <t>6,721.25</t>
  </si>
  <si>
    <t>1,611,105</t>
  </si>
  <si>
    <t>6,560.00</t>
  </si>
  <si>
    <t>6,677.50</t>
  </si>
  <si>
    <t>6,525.00</t>
  </si>
  <si>
    <t>6,620.25</t>
  </si>
  <si>
    <t>2,592,859</t>
  </si>
  <si>
    <t>6,697.50</t>
  </si>
  <si>
    <t>6,791.25</t>
  </si>
  <si>
    <t>6,550.50</t>
  </si>
  <si>
    <t>6,557.50</t>
  </si>
  <si>
    <t>2,987,357</t>
  </si>
  <si>
    <t>6,630.75</t>
  </si>
  <si>
    <t>6,709.00</t>
  </si>
  <si>
    <t>6,613.25</t>
  </si>
  <si>
    <t>6,661.50</t>
  </si>
  <si>
    <t>2,041,130</t>
  </si>
  <si>
    <t>6,696.50</t>
  </si>
  <si>
    <t>6,708.75</t>
  </si>
  <si>
    <t>6,594.00</t>
  </si>
  <si>
    <t>6,639.75</t>
  </si>
  <si>
    <t>2,514,985</t>
  </si>
  <si>
    <t>6,764.75</t>
  </si>
  <si>
    <t>6,801.50</t>
  </si>
  <si>
    <t>6,658.50</t>
  </si>
  <si>
    <t>6,692.00</t>
  </si>
  <si>
    <t>1,883,810</t>
  </si>
  <si>
    <t>6,762.75</t>
  </si>
  <si>
    <t>6,795.50</t>
  </si>
  <si>
    <t>6,670.50</t>
  </si>
  <si>
    <t>6,755.25</t>
  </si>
  <si>
    <t>2,105,234</t>
  </si>
  <si>
    <t>6,746.00</t>
  </si>
  <si>
    <t>6,760.00</t>
  </si>
  <si>
    <t>2,087,220</t>
  </si>
  <si>
    <t>6,874.00</t>
  </si>
  <si>
    <t>6,875.75</t>
  </si>
  <si>
    <t>1,402,032</t>
  </si>
  <si>
    <t>6,857.25</t>
  </si>
  <si>
    <t>6,880.00</t>
  </si>
  <si>
    <t>6,830.50</t>
  </si>
  <si>
    <t>6,871.50</t>
  </si>
  <si>
    <t>1,348,763</t>
  </si>
  <si>
    <t>6,788.00</t>
  </si>
  <si>
    <t>6,865.75</t>
  </si>
  <si>
    <t>6,772.00</t>
  </si>
  <si>
    <t>1,597,305</t>
  </si>
  <si>
    <t>6,763.00</t>
  </si>
  <si>
    <t>6,655.50</t>
  </si>
  <si>
    <t>6,753.75</t>
  </si>
  <si>
    <t>2,127,595</t>
  </si>
  <si>
    <t>6,843.50</t>
  </si>
  <si>
    <t>6,733.50</t>
  </si>
  <si>
    <t>6,747.50</t>
  </si>
  <si>
    <t>1,860,279</t>
  </si>
  <si>
    <t>6,857.75</t>
  </si>
  <si>
    <t>6,748.50</t>
  </si>
  <si>
    <t>1,467,734</t>
  </si>
  <si>
    <t>6,884.00</t>
  </si>
  <si>
    <t>6,786.25</t>
  </si>
  <si>
    <t>6,801.75</t>
  </si>
  <si>
    <t>1,702,971</t>
  </si>
  <si>
    <t>6,878.00</t>
  </si>
  <si>
    <t>6,909.50</t>
  </si>
  <si>
    <t>6,849.50</t>
  </si>
  <si>
    <t>6,882.75</t>
  </si>
  <si>
    <t>-</t>
  </si>
  <si>
    <t>6,897.00</t>
  </si>
  <si>
    <t>6,918.50</t>
  </si>
  <si>
    <t>1,764,133</t>
  </si>
  <si>
    <t>6,906.50</t>
  </si>
  <si>
    <t>6,953.75</t>
  </si>
  <si>
    <t>6,855.50</t>
  </si>
  <si>
    <t>1,817,621</t>
  </si>
  <si>
    <t>6,929.25</t>
  </si>
  <si>
    <t>6,952.00</t>
  </si>
  <si>
    <t>6,882.25</t>
  </si>
  <si>
    <t>6,922.75</t>
  </si>
  <si>
    <t>1,536,995</t>
  </si>
  <si>
    <t>6,944.75</t>
  </si>
  <si>
    <t>6,901.50</t>
  </si>
  <si>
    <t>1,221,838</t>
  </si>
  <si>
    <t>6,881.00</t>
  </si>
  <si>
    <t>6,916.25</t>
  </si>
  <si>
    <t>6,908.25</t>
  </si>
  <si>
    <t>1,191,278</t>
  </si>
  <si>
    <t>6,841.25</t>
  </si>
  <si>
    <t>6,776.50</t>
  </si>
  <si>
    <t>6,827.00</t>
  </si>
  <si>
    <t>1,279,387</t>
  </si>
  <si>
    <t>6,785.75</t>
  </si>
  <si>
    <t>6,717.50</t>
  </si>
  <si>
    <t>6,775.00</t>
  </si>
  <si>
    <t>1,375,494</t>
  </si>
  <si>
    <t>6,776.00</t>
  </si>
  <si>
    <t>6,788.75</t>
  </si>
  <si>
    <t>6,690.75</t>
  </si>
  <si>
    <t>6,737.00</t>
  </si>
  <si>
    <t>1,905,565</t>
  </si>
  <si>
    <t>6,779.50</t>
  </si>
  <si>
    <t>6,789.75</t>
  </si>
  <si>
    <t>6,759.25</t>
  </si>
  <si>
    <t>6,773.25</t>
  </si>
  <si>
    <t>1,285,745</t>
  </si>
  <si>
    <t>6,721.00</t>
  </si>
  <si>
    <t>6,783.00</t>
  </si>
  <si>
    <t>6,694.00</t>
  </si>
  <si>
    <t>6,773.75</t>
  </si>
  <si>
    <t>1,207,586</t>
  </si>
  <si>
    <t>6,659.25</t>
  </si>
  <si>
    <t>6,718.00</t>
  </si>
  <si>
    <t>6,571.25</t>
  </si>
  <si>
    <t>6,702.50</t>
  </si>
  <si>
    <t>2,081,456</t>
  </si>
  <si>
    <t>6,715.25</t>
  </si>
  <si>
    <t>6,750.50</t>
  </si>
  <si>
    <t>6,632.00</t>
  </si>
  <si>
    <t>6,668.75</t>
  </si>
  <si>
    <t>2,221,351</t>
  </si>
  <si>
    <t>6,684.25</t>
  </si>
  <si>
    <t>6,766.75</t>
  </si>
  <si>
    <t>6,651.50</t>
  </si>
  <si>
    <t>6,715.00</t>
  </si>
  <si>
    <t>2,009,854</t>
  </si>
  <si>
    <t>6,691.00</t>
  </si>
  <si>
    <t>6,722.50</t>
  </si>
  <si>
    <t>6,593.25</t>
  </si>
  <si>
    <t>6,686.50</t>
  </si>
  <si>
    <t>2,147,252</t>
  </si>
  <si>
    <t>6,711.50</t>
  </si>
  <si>
    <t>6,694.75</t>
  </si>
  <si>
    <t>2,570,043</t>
  </si>
  <si>
    <t>6,806.50</t>
  </si>
  <si>
    <t>6,540.25</t>
  </si>
  <si>
    <t>6,595.25</t>
  </si>
  <si>
    <t>6,760.75</t>
  </si>
  <si>
    <t>6,779.25</t>
  </si>
  <si>
    <t>1,370,466</t>
  </si>
  <si>
    <t>6,766.00</t>
  </si>
  <si>
    <t>6,807.75</t>
  </si>
  <si>
    <t>6,758.25</t>
  </si>
  <si>
    <t>6,801.25</t>
  </si>
  <si>
    <t>1,047,925</t>
  </si>
  <si>
    <t>6,789.50</t>
  </si>
  <si>
    <t>6,747.25</t>
  </si>
  <si>
    <t>6,761.50</t>
  </si>
  <si>
    <t>1,433,808</t>
  </si>
  <si>
    <t>6,797.75</t>
  </si>
  <si>
    <t>6,766.50</t>
  </si>
  <si>
    <t>1,087,339</t>
  </si>
  <si>
    <t>6,800.00</t>
  </si>
  <si>
    <t>6,754.00</t>
  </si>
  <si>
    <t>6,764.00</t>
  </si>
  <si>
    <t>1,366,239</t>
  </si>
  <si>
    <t>6,757.00</t>
  </si>
  <si>
    <t>6,782.25</t>
  </si>
  <si>
    <t>6,741.50</t>
  </si>
  <si>
    <t>1,182,875</t>
  </si>
  <si>
    <t>6,725.50</t>
  </si>
  <si>
    <t>6,769.50</t>
  </si>
  <si>
    <t>6,680.00</t>
  </si>
  <si>
    <t>1,312,743</t>
  </si>
  <si>
    <t>6,708.00</t>
  </si>
  <si>
    <t>6,743.50</t>
  </si>
  <si>
    <t>6,693.00</t>
  </si>
  <si>
    <t>6,738.75</t>
  </si>
  <si>
    <t>1,521,737</t>
  </si>
  <si>
    <t>6,697.00</t>
  </si>
  <si>
    <t>6,736.00</t>
  </si>
  <si>
    <t>6,696.25</t>
  </si>
  <si>
    <t>6,713.50</t>
  </si>
  <si>
    <t>1,209,953</t>
  </si>
  <si>
    <t>6,662.75</t>
  </si>
  <si>
    <t>6,703.75</t>
  </si>
  <si>
    <t>6,653.25</t>
  </si>
  <si>
    <t>1,338,413</t>
  </si>
  <si>
    <t>6,697.25</t>
  </si>
  <si>
    <t>6,705.25</t>
  </si>
  <si>
    <t>6,624.25</t>
  </si>
  <si>
    <t>6,659.75</t>
  </si>
  <si>
    <t>1,710,507</t>
  </si>
  <si>
    <t>6,717.75</t>
  </si>
  <si>
    <t>6,728.75</t>
  </si>
  <si>
    <t>6,678.00</t>
  </si>
  <si>
    <t>6,692.25</t>
  </si>
  <si>
    <t>1,250,173</t>
  </si>
  <si>
    <t>6,749.50</t>
  </si>
  <si>
    <t>6,756.50</t>
  </si>
  <si>
    <t>6,701.75</t>
  </si>
  <si>
    <t>1,264,195</t>
  </si>
  <si>
    <t>6,716.00</t>
  </si>
  <si>
    <t>6,756.75</t>
  </si>
  <si>
    <t>6,695.25</t>
  </si>
  <si>
    <t>6,752.50</t>
  </si>
  <si>
    <t>1,081,569</t>
  </si>
  <si>
    <t>6,640.00</t>
  </si>
  <si>
    <t>6,660.75</t>
  </si>
  <si>
    <t>6,622.75</t>
  </si>
  <si>
    <t>6,658.77</t>
  </si>
  <si>
    <t>1,369,003</t>
  </si>
  <si>
    <t>6,606.00</t>
  </si>
  <si>
    <t>6,662.00</t>
  </si>
  <si>
    <t>6,605.75</t>
  </si>
  <si>
    <t>6,635.00</t>
  </si>
  <si>
    <t>6,613.00</t>
  </si>
  <si>
    <t>6,629.00</t>
  </si>
  <si>
    <t>6,554.00</t>
  </si>
  <si>
    <t>6,601.25</t>
  </si>
  <si>
    <t>6,616.25</t>
  </si>
  <si>
    <t>6,639.00</t>
  </si>
  <si>
    <t>6,604.25</t>
  </si>
  <si>
    <t>6,610.75</t>
  </si>
  <si>
    <t>6,588.25</t>
  </si>
  <si>
    <t>6,623.50</t>
  </si>
  <si>
    <t>6,585.25</t>
  </si>
  <si>
    <t>6,621.50</t>
  </si>
  <si>
    <t>1,539,732</t>
  </si>
  <si>
    <t>6,596.25</t>
  </si>
  <si>
    <t>6,576.00</t>
  </si>
  <si>
    <t>1,601,056</t>
  </si>
  <si>
    <t>6,535.75</t>
  </si>
  <si>
    <t>6,600.00</t>
  </si>
  <si>
    <t>6,535.50</t>
  </si>
  <si>
    <t>6,592.50</t>
  </si>
  <si>
    <t>1,282,669</t>
  </si>
  <si>
    <t>6,532.25</t>
  </si>
  <si>
    <t>6,565.25</t>
  </si>
  <si>
    <t>6,522.50</t>
  </si>
  <si>
    <t>6,539.75</t>
  </si>
  <si>
    <t>1,381,759</t>
  </si>
  <si>
    <t>6,507.75</t>
  </si>
  <si>
    <t>6,536.25</t>
  </si>
  <si>
    <t>6,489.25</t>
  </si>
  <si>
    <t>6,521.75</t>
  </si>
  <si>
    <t>1,169,514</t>
  </si>
  <si>
    <t>6,483.75</t>
  </si>
  <si>
    <t>6,516.50</t>
  </si>
  <si>
    <t>6,480.25</t>
  </si>
  <si>
    <t>6,506.00</t>
  </si>
  <si>
    <t>1,187,985</t>
  </si>
  <si>
    <t>6,515.75</t>
  </si>
  <si>
    <t>6,541.75</t>
  </si>
  <si>
    <t>6,452.00</t>
  </si>
  <si>
    <t>6,489.75</t>
  </si>
  <si>
    <t>1,710,784</t>
  </si>
  <si>
    <t>6,460.00</t>
  </si>
  <si>
    <t>6,516.75</t>
  </si>
  <si>
    <t>6,454.50</t>
  </si>
  <si>
    <t>6,510.75</t>
  </si>
  <si>
    <t>1,186,477</t>
  </si>
  <si>
    <t>6,448.00</t>
  </si>
  <si>
    <t>6,464.25</t>
  </si>
  <si>
    <t>6,425.50</t>
  </si>
  <si>
    <t>6,457.25</t>
  </si>
  <si>
    <t>1,435,997</t>
  </si>
  <si>
    <t>6,478.75</t>
  </si>
  <si>
    <t>6,491.50</t>
  </si>
  <si>
    <t>6,371.75</t>
  </si>
  <si>
    <t>1,802,584</t>
  </si>
  <si>
    <t>6,516.00</t>
  </si>
  <si>
    <t>6,518.00</t>
  </si>
  <si>
    <t>6,455.50</t>
  </si>
  <si>
    <t>6,472.75</t>
  </si>
  <si>
    <t>6,485.00</t>
  </si>
  <si>
    <t>6,523.00</t>
  </si>
  <si>
    <t>6,471.00</t>
  </si>
  <si>
    <t>6,517.50</t>
  </si>
  <si>
    <t>1,170,397</t>
  </si>
  <si>
    <t>6,486.75</t>
  </si>
  <si>
    <t>6,505.50</t>
  </si>
  <si>
    <t>6,459.25</t>
  </si>
  <si>
    <t>6,496.00</t>
  </si>
  <si>
    <t>6,460.25</t>
  </si>
  <si>
    <t>6,487.50</t>
  </si>
  <si>
    <t>6,430.75</t>
  </si>
  <si>
    <t>6,482.50</t>
  </si>
  <si>
    <t>1,133,761</t>
  </si>
  <si>
    <t>6,493.00</t>
  </si>
  <si>
    <t>6,494.00</t>
  </si>
  <si>
    <t>6,453.00</t>
  </si>
  <si>
    <t>6,392.00</t>
  </si>
  <si>
    <t>6,496.25</t>
  </si>
  <si>
    <t>6,364.00</t>
  </si>
  <si>
    <t>6,483.25</t>
  </si>
  <si>
    <t>1,420,723</t>
  </si>
  <si>
    <t>6,414.25</t>
  </si>
  <si>
    <t>6,419.00</t>
  </si>
  <si>
    <t>6,370.25</t>
  </si>
  <si>
    <t>6,388.25</t>
  </si>
  <si>
    <t>1,200,689</t>
  </si>
  <si>
    <t>6,433.00</t>
  </si>
  <si>
    <t>6,438.00</t>
  </si>
  <si>
    <t>6,362.75</t>
  </si>
  <si>
    <t>6,413.25</t>
  </si>
  <si>
    <t>1,609,469</t>
  </si>
  <si>
    <t>6,468.50</t>
  </si>
  <si>
    <t>6,477.50</t>
  </si>
  <si>
    <t>6,419.25</t>
  </si>
  <si>
    <t>6,432.50</t>
  </si>
  <si>
    <t>1,224,317</t>
  </si>
  <si>
    <t>6,467.00</t>
  </si>
  <si>
    <t>6,484.25</t>
  </si>
  <si>
    <t>6,456.00</t>
  </si>
  <si>
    <t>6,469.25</t>
  </si>
  <si>
    <t>6,508.75</t>
  </si>
  <si>
    <t>6,461.50</t>
  </si>
  <si>
    <t>6,471.50</t>
  </si>
  <si>
    <t>1,122,157</t>
  </si>
  <si>
    <t>6,453.25</t>
  </si>
  <si>
    <t>6,490.50</t>
  </si>
  <si>
    <t>1,186,070</t>
  </si>
  <si>
    <t>6,468.00</t>
  </si>
  <si>
    <t>6,502.50</t>
  </si>
  <si>
    <t>6,461.00</t>
  </si>
  <si>
    <t>6,488.75</t>
  </si>
  <si>
    <t>1,111,683</t>
  </si>
  <si>
    <t>6,396.00</t>
  </si>
  <si>
    <t>6,470.00</t>
  </si>
  <si>
    <t>6,391.25</t>
  </si>
  <si>
    <t>1,271,180</t>
  </si>
  <si>
    <t>6,422.75</t>
  </si>
  <si>
    <t>6,431.50</t>
  </si>
  <si>
    <t>6,387.50</t>
  </si>
  <si>
    <t>6,399.75</t>
  </si>
  <si>
    <t>1,073,359</t>
  </si>
  <si>
    <t>6,372.50</t>
  </si>
  <si>
    <t>6,425.75</t>
  </si>
  <si>
    <t>6,369.25</t>
  </si>
  <si>
    <t>6,413.50</t>
  </si>
  <si>
    <t>1,196,497</t>
  </si>
  <si>
    <t>6,371.00</t>
  </si>
  <si>
    <t>6,426.75</t>
  </si>
  <si>
    <t>6,334.50</t>
  </si>
  <si>
    <t>6,366.50</t>
  </si>
  <si>
    <t>1,458,573</t>
  </si>
  <si>
    <t>6,323.00</t>
  </si>
  <si>
    <t>6,379.50</t>
  </si>
  <si>
    <t>6,313.25</t>
  </si>
  <si>
    <t>1,233,346</t>
  </si>
  <si>
    <t>6,370.00</t>
  </si>
  <si>
    <t>6,377.50</t>
  </si>
  <si>
    <t>6,315.50</t>
  </si>
  <si>
    <t>6,325.25</t>
  </si>
  <si>
    <t>1,402,448</t>
  </si>
  <si>
    <t>6,257.00</t>
  </si>
  <si>
    <t>6,251.25</t>
  </si>
  <si>
    <t>6,356.00</t>
  </si>
  <si>
    <t>1,304,652</t>
  </si>
  <si>
    <t>6,359.50</t>
  </si>
  <si>
    <t>6,373.50</t>
  </si>
  <si>
    <t>6,239.50</t>
  </si>
  <si>
    <t>6,264.50</t>
  </si>
  <si>
    <t>2,287,699</t>
  </si>
  <si>
    <t>6,435.50</t>
  </si>
  <si>
    <t>6,357.50</t>
  </si>
  <si>
    <t>6,374.25</t>
  </si>
  <si>
    <t>1,857,020</t>
  </si>
  <si>
    <t>6,404.00</t>
  </si>
  <si>
    <t>6,435.25</t>
  </si>
  <si>
    <t>6,366.75</t>
  </si>
  <si>
    <t>6,396.25</t>
  </si>
  <si>
    <t>1,302,795</t>
  </si>
  <si>
    <t>6,424.25</t>
  </si>
  <si>
    <t>6,442.50</t>
  </si>
  <si>
    <t>6,406.00</t>
  </si>
  <si>
    <t>1,122,508</t>
  </si>
  <si>
    <t>6,450.00</t>
  </si>
  <si>
    <t>6,457.75</t>
  </si>
  <si>
    <t>6,408.75</t>
  </si>
  <si>
    <t>6,406.75</t>
  </si>
  <si>
    <t>6,431.00</t>
  </si>
  <si>
    <t>6,401.00</t>
  </si>
  <si>
    <t>6,425.00</t>
  </si>
  <si>
    <t>6,418.25</t>
  </si>
  <si>
    <t>6,391.50</t>
  </si>
  <si>
    <t>6,401.50</t>
  </si>
  <si>
    <t>1,073,595</t>
  </si>
  <si>
    <t>6,346.50</t>
  </si>
  <si>
    <t>6,407.25</t>
  </si>
  <si>
    <t>6,342.75</t>
  </si>
  <si>
    <t>1,203,541</t>
  </si>
  <si>
    <t>6,347.00</t>
  </si>
  <si>
    <t>6,353.75</t>
  </si>
  <si>
    <t>6,318.75</t>
  </si>
  <si>
    <t>6,346.75</t>
  </si>
  <si>
    <t>1,130,356</t>
  </si>
  <si>
    <t>6,335.75</t>
  </si>
  <si>
    <t>6,374.00</t>
  </si>
  <si>
    <t>6,329.75</t>
  </si>
  <si>
    <t>6,344.75</t>
  </si>
  <si>
    <t>6,342.50</t>
  </si>
  <si>
    <t>6,357.00</t>
  </si>
  <si>
    <t>6,323.25</t>
  </si>
  <si>
    <t>6,334.75</t>
  </si>
  <si>
    <t>1,050,307</t>
  </si>
  <si>
    <t>6,299.25</t>
  </si>
  <si>
    <t>6,345.50</t>
  </si>
  <si>
    <t>6,288.25</t>
  </si>
  <si>
    <t>6,340.50</t>
  </si>
  <si>
    <t>1,052,843</t>
  </si>
  <si>
    <t>6,273.75</t>
  </si>
  <si>
    <t>6,308.75</t>
  </si>
  <si>
    <t>6,241.00</t>
  </si>
  <si>
    <t>6,303.25</t>
  </si>
  <si>
    <t>1,462,969</t>
  </si>
  <si>
    <t>6,309.50</t>
  </si>
  <si>
    <t>6,343.00</t>
  </si>
  <si>
    <t>6,272.50</t>
  </si>
  <si>
    <t>6,284.00</t>
  </si>
  <si>
    <t>1,279,068</t>
  </si>
  <si>
    <t>6,274.00</t>
  </si>
  <si>
    <t>6,315.00</t>
  </si>
  <si>
    <t>6,259.75</t>
  </si>
  <si>
    <t>6,311.00</t>
  </si>
  <si>
    <t>6,330.25</t>
  </si>
  <si>
    <t>6,276.75</t>
  </si>
  <si>
    <t>6,300.00</t>
  </si>
  <si>
    <t>1,100,047</t>
  </si>
  <si>
    <t>6,306.00</t>
  </si>
  <si>
    <t>6,335.50</t>
  </si>
  <si>
    <t>6,287.50</t>
  </si>
  <si>
    <t>6,324.25</t>
  </si>
  <si>
    <t>6,272.00</t>
  </si>
  <si>
    <t>6,315.25</t>
  </si>
  <si>
    <t>6,260.00</t>
  </si>
  <si>
    <t>6,307.25</t>
  </si>
  <si>
    <t>1,144,723</t>
  </si>
  <si>
    <t>6,262.50</t>
  </si>
  <si>
    <t>6,289.00</t>
  </si>
  <si>
    <t>6,254.50</t>
  </si>
  <si>
    <t>1,073,914</t>
  </si>
  <si>
    <t>6,307.75</t>
  </si>
  <si>
    <t>6,246.25</t>
  </si>
  <si>
    <t>6,276.00</t>
  </si>
  <si>
    <t>1,376,613</t>
  </si>
  <si>
    <t>Jul 4, 2025</t>
  </si>
  <si>
    <t>6,320.75</t>
  </si>
  <si>
    <t>6,322.75</t>
  </si>
  <si>
    <t>6,276.50</t>
  </si>
  <si>
    <t>6,283.50</t>
  </si>
  <si>
    <t>6,333.25</t>
  </si>
  <si>
    <t>6,270.50</t>
  </si>
  <si>
    <t>6,247.75</t>
  </si>
  <si>
    <t>6,279.50</t>
  </si>
  <si>
    <t>6,235.50</t>
  </si>
  <si>
    <t>6,275.00</t>
  </si>
  <si>
    <t>1,044,261</t>
  </si>
  <si>
    <t>6,245.75</t>
  </si>
  <si>
    <t>6,261.50</t>
  </si>
  <si>
    <t>6,227.25</t>
  </si>
  <si>
    <t>6,248.75</t>
  </si>
  <si>
    <t>1,320,618</t>
  </si>
  <si>
    <t>6,223.25</t>
  </si>
  <si>
    <t>6,265.50</t>
  </si>
  <si>
    <t>6,253.75</t>
  </si>
  <si>
    <t>1,364,101</t>
  </si>
  <si>
    <t>6,197.50</t>
  </si>
  <si>
    <t>6,239.00</t>
  </si>
  <si>
    <t>6,183.25</t>
  </si>
  <si>
    <t>6,223.75</t>
  </si>
  <si>
    <t>1,353,399</t>
  </si>
  <si>
    <t>6,144.75</t>
  </si>
  <si>
    <t>6,200.00</t>
  </si>
  <si>
    <t>6,141.25</t>
  </si>
  <si>
    <t>6,195.00</t>
  </si>
  <si>
    <t>1,039,428</t>
  </si>
  <si>
    <t>6,160.25</t>
  </si>
  <si>
    <t>6,130.75</t>
  </si>
  <si>
    <t>6,147.00</t>
  </si>
  <si>
    <t>6,078.00</t>
  </si>
  <si>
    <t>6,155.25</t>
  </si>
  <si>
    <t>6,075.25</t>
  </si>
  <si>
    <t>6,146.25</t>
  </si>
  <si>
    <t>1,077,333</t>
  </si>
  <si>
    <t>5,964.00</t>
  </si>
  <si>
    <t>6,081.50</t>
  </si>
  <si>
    <t>5,959.00</t>
  </si>
  <si>
    <t>6,077.00</t>
  </si>
  <si>
    <t>1,358,034</t>
  </si>
  <si>
    <t>5,984.00</t>
  </si>
  <si>
    <t>6,019.25</t>
  </si>
  <si>
    <t>5,918.25</t>
  </si>
  <si>
    <t>6,010.21</t>
  </si>
  <si>
    <t>1,694,443</t>
  </si>
  <si>
    <t>5,977.25</t>
  </si>
  <si>
    <t>6,020.75</t>
  </si>
  <si>
    <t>5,964.75</t>
  </si>
  <si>
    <t>5,981.50</t>
  </si>
  <si>
    <t>6,038.50</t>
  </si>
  <si>
    <t>6,040.50</t>
  </si>
  <si>
    <t>5,976.75</t>
  </si>
  <si>
    <t>5,985.00</t>
  </si>
  <si>
    <t>5,949.00</t>
  </si>
  <si>
    <t>6,055.25</t>
  </si>
  <si>
    <t>5,944.00</t>
  </si>
  <si>
    <t>6,035.75</t>
  </si>
  <si>
    <t>1,744,867</t>
  </si>
  <si>
    <t>6,045.00</t>
  </si>
  <si>
    <t>5,927.50</t>
  </si>
  <si>
    <t>5,979.25</t>
  </si>
  <si>
    <t>2,162,167</t>
  </si>
  <si>
    <t>6,022.25</t>
  </si>
  <si>
    <t>6,051.25</t>
  </si>
  <si>
    <t>5,987.75</t>
  </si>
  <si>
    <t>6,049.50</t>
  </si>
  <si>
    <t>1,330,953</t>
  </si>
  <si>
    <t>6,038.75</t>
  </si>
  <si>
    <t>6,074.75</t>
  </si>
  <si>
    <t>6,006.25</t>
  </si>
  <si>
    <t>6,029.00</t>
  </si>
  <si>
    <t>1,610,313</t>
  </si>
  <si>
    <t>6,012.25</t>
  </si>
  <si>
    <t>5,991.25</t>
  </si>
  <si>
    <t>1,104,373</t>
  </si>
  <si>
    <t>6,010.00</t>
  </si>
  <si>
    <t>6,027.75</t>
  </si>
  <si>
    <t>5,992.25</t>
  </si>
  <si>
    <t>6,010.25</t>
  </si>
  <si>
    <t>5,931.75</t>
  </si>
  <si>
    <t>6,025.00</t>
  </si>
  <si>
    <t>5,930.00</t>
  </si>
  <si>
    <t>6,006.75</t>
  </si>
  <si>
    <t>1,278,102</t>
  </si>
  <si>
    <t>5,974.25</t>
  </si>
  <si>
    <t>6,016.50</t>
  </si>
  <si>
    <t>5,928.75</t>
  </si>
  <si>
    <t>5,946.00</t>
  </si>
  <si>
    <t>5,980.00</t>
  </si>
  <si>
    <t>5,999.00</t>
  </si>
  <si>
    <t>5,974.00</t>
  </si>
  <si>
    <t>5,981.00</t>
  </si>
  <si>
    <t>1,097,088</t>
  </si>
  <si>
    <t>5,909.25</t>
  </si>
  <si>
    <t>1,154,297</t>
  </si>
  <si>
    <t>5,898.75</t>
  </si>
  <si>
    <t>5,955.50</t>
  </si>
  <si>
    <t>5,867.50</t>
  </si>
  <si>
    <t>5,947.25</t>
  </si>
  <si>
    <t>1,194,125</t>
  </si>
  <si>
    <t>5,912.25</t>
  </si>
  <si>
    <t>5,932.75</t>
  </si>
  <si>
    <t>5,853.25</t>
  </si>
  <si>
    <t>5,916.00</t>
  </si>
  <si>
    <t>1,633,334</t>
  </si>
  <si>
    <t>5,923.50</t>
  </si>
  <si>
    <t>6,008.00</t>
  </si>
  <si>
    <t>5,884.00</t>
  </si>
  <si>
    <t>5,922.75</t>
  </si>
  <si>
    <t>1,414,864</t>
  </si>
  <si>
    <t>5,940.75</t>
  </si>
  <si>
    <t>5,952.50</t>
  </si>
  <si>
    <t>5,890.00</t>
  </si>
  <si>
    <t>5,902.75</t>
  </si>
  <si>
    <t>1,181,330</t>
  </si>
  <si>
    <t>5,820.00</t>
  </si>
  <si>
    <t>5,941.75</t>
  </si>
  <si>
    <t>5,813.00</t>
  </si>
  <si>
    <t>5,934.25</t>
  </si>
  <si>
    <t>1,288,369</t>
  </si>
  <si>
    <t>5,869.25</t>
  </si>
  <si>
    <t>5,872.00</t>
  </si>
  <si>
    <t>5,756.50</t>
  </si>
  <si>
    <t>5,817.00</t>
  </si>
  <si>
    <t>1,537,693</t>
  </si>
  <si>
    <t>5,858.00</t>
  </si>
  <si>
    <t>5,895.00</t>
  </si>
  <si>
    <t>5,828.75</t>
  </si>
  <si>
    <t>5,856.75</t>
  </si>
  <si>
    <t>1,419,522</t>
  </si>
  <si>
    <t>5,953.50</t>
  </si>
  <si>
    <t>5,958.25</t>
  </si>
  <si>
    <t>5,847.75</t>
  </si>
  <si>
    <t>5,861.25</t>
  </si>
  <si>
    <t>1,548,946</t>
  </si>
  <si>
    <t>5,993.50</t>
  </si>
  <si>
    <t>5,926.75</t>
  </si>
  <si>
    <t>5,959.75</t>
  </si>
  <si>
    <t>1,112,908</t>
  </si>
  <si>
    <t>5,930.25</t>
  </si>
  <si>
    <t>5,987.50</t>
  </si>
  <si>
    <t>5,892.75</t>
  </si>
  <si>
    <t>5,982.50</t>
  </si>
  <si>
    <t>1,245,859</t>
  </si>
  <si>
    <t>5,935.00</t>
  </si>
  <si>
    <t>5,977.50</t>
  </si>
  <si>
    <t>5,923.00</t>
  </si>
  <si>
    <t>5,975.50</t>
  </si>
  <si>
    <t>1,180,875</t>
  </si>
  <si>
    <t>5,904.00</t>
  </si>
  <si>
    <t>5,944.50</t>
  </si>
  <si>
    <t>5,867.00</t>
  </si>
  <si>
    <t>5,933.25</t>
  </si>
  <si>
    <t>1,291,986</t>
  </si>
  <si>
    <t>5,902.00</t>
  </si>
  <si>
    <t>5,925.00</t>
  </si>
  <si>
    <t>5,908.50</t>
  </si>
  <si>
    <t>1,207,202</t>
  </si>
  <si>
    <t>5,868.00</t>
  </si>
  <si>
    <t>5,927.00</t>
  </si>
  <si>
    <t>5,835.75</t>
  </si>
  <si>
    <t>5,904.50</t>
  </si>
  <si>
    <t>1,335,457</t>
  </si>
  <si>
    <t>5,761.00</t>
  </si>
  <si>
    <t>5,876.25</t>
  </si>
  <si>
    <t>5,734.25</t>
  </si>
  <si>
    <t>5,865.00</t>
  </si>
  <si>
    <t>1,765,593</t>
  </si>
  <si>
    <t>5,688.50</t>
  </si>
  <si>
    <t>5,715.25</t>
  </si>
  <si>
    <t>5,662.50</t>
  </si>
  <si>
    <t>5,678.00</t>
  </si>
  <si>
    <t>1,029,418</t>
  </si>
  <si>
    <t>5,643.25</t>
  </si>
  <si>
    <t>5,741.00</t>
  </si>
  <si>
    <t>5,636.50</t>
  </si>
  <si>
    <t>5,684.50</t>
  </si>
  <si>
    <t>1,428,613</t>
  </si>
  <si>
    <t>5,608.50</t>
  </si>
  <si>
    <t>5,689.75</t>
  </si>
  <si>
    <t>5,596.00</t>
  </si>
  <si>
    <t>5,652.00</t>
  </si>
  <si>
    <t>1,390,561</t>
  </si>
  <si>
    <t>5,666.25</t>
  </si>
  <si>
    <t>5,673.25</t>
  </si>
  <si>
    <t>5,605.00</t>
  </si>
  <si>
    <t>5,625.75</t>
  </si>
  <si>
    <t>1,303,877</t>
  </si>
  <si>
    <t>5,705.00</t>
  </si>
  <si>
    <t>5,706.25</t>
  </si>
  <si>
    <t>5,655.25</t>
  </si>
  <si>
    <t>5,671.75</t>
  </si>
  <si>
    <t>5,724.75</t>
  </si>
  <si>
    <t>5,601.00</t>
  </si>
  <si>
    <t>5,709.00</t>
  </si>
  <si>
    <t>1,383,367</t>
  </si>
  <si>
    <t>5,617.50</t>
  </si>
  <si>
    <t>5,682.50</t>
  </si>
  <si>
    <t>5,601.75</t>
  </si>
  <si>
    <t>5,623.25</t>
  </si>
  <si>
    <t>1,388,619</t>
  </si>
  <si>
    <t>5,579.50</t>
  </si>
  <si>
    <t>5,626.25</t>
  </si>
  <si>
    <t>5,455.50</t>
  </si>
  <si>
    <t>5,587.00</t>
  </si>
  <si>
    <t>1,833,646</t>
  </si>
  <si>
    <t>5,543.00</t>
  </si>
  <si>
    <t>5,597.25</t>
  </si>
  <si>
    <t>5,521.50</t>
  </si>
  <si>
    <t>5,583.75</t>
  </si>
  <si>
    <t>1,227,182</t>
  </si>
  <si>
    <t>5,544.00</t>
  </si>
  <si>
    <t>5,578.75</t>
  </si>
  <si>
    <t>5,492.00</t>
  </si>
  <si>
    <t>5,553.00</t>
  </si>
  <si>
    <t>1,198,801</t>
  </si>
  <si>
    <t>5,529.00</t>
  </si>
  <si>
    <t>5,562.25</t>
  </si>
  <si>
    <t>5,480.25</t>
  </si>
  <si>
    <t>5,549.75</t>
  </si>
  <si>
    <t>1,339,888</t>
  </si>
  <si>
    <t>5,409.00</t>
  </si>
  <si>
    <t>5,541.50</t>
  </si>
  <si>
    <t>5,355.25</t>
  </si>
  <si>
    <t>5,511.25</t>
  </si>
  <si>
    <t>1,411,419</t>
  </si>
  <si>
    <t>5,379.75</t>
  </si>
  <si>
    <t>5,499.75</t>
  </si>
  <si>
    <t>5,377.75</t>
  </si>
  <si>
    <t>5,401.75</t>
  </si>
  <si>
    <t>1,846,494</t>
  </si>
  <si>
    <t>5,182.50</t>
  </si>
  <si>
    <t>5,339.25</t>
  </si>
  <si>
    <t>5,171.75</t>
  </si>
  <si>
    <t>5,314.75</t>
  </si>
  <si>
    <t>1,572,006</t>
  </si>
  <si>
    <t>5,283.75</t>
  </si>
  <si>
    <t>5,306.75</t>
  </si>
  <si>
    <t>5,127.25</t>
  </si>
  <si>
    <t>5,184.75</t>
  </si>
  <si>
    <t>1,191,218</t>
  </si>
  <si>
    <t>5,308.00</t>
  </si>
  <si>
    <t>5,371.25</t>
  </si>
  <si>
    <t>5,285.50</t>
  </si>
  <si>
    <t>5,312.75</t>
  </si>
  <si>
    <t>1,381,396</t>
  </si>
  <si>
    <t>5,403.75</t>
  </si>
  <si>
    <t>5,425.00</t>
  </si>
  <si>
    <t>5,251.00</t>
  </si>
  <si>
    <t>5,305.75</t>
  </si>
  <si>
    <t>1,559,064</t>
  </si>
  <si>
    <t>5,431.75</t>
  </si>
  <si>
    <t>5,485.00</t>
  </si>
  <si>
    <t>5,413.00</t>
  </si>
  <si>
    <t>5,428.25</t>
  </si>
  <si>
    <t>1,158,703</t>
  </si>
  <si>
    <t>5,452.50</t>
  </si>
  <si>
    <t>5,497.75</t>
  </si>
  <si>
    <t>5,391.00</t>
  </si>
  <si>
    <t>5,440.75</t>
  </si>
  <si>
    <t>1,303,900</t>
  </si>
  <si>
    <t>5,299.25</t>
  </si>
  <si>
    <t>5,418.25</t>
  </si>
  <si>
    <t>5,206.00</t>
  </si>
  <si>
    <t>5,391.25</t>
  </si>
  <si>
    <t>1,759,660</t>
  </si>
  <si>
    <t>5,502.50</t>
  </si>
  <si>
    <t>5,528.75</t>
  </si>
  <si>
    <t>5,146.75</t>
  </si>
  <si>
    <t>5,302.00</t>
  </si>
  <si>
    <t>2,524,214</t>
  </si>
  <si>
    <t>5,006.25</t>
  </si>
  <si>
    <t>5,520.00</t>
  </si>
  <si>
    <t>4,871.75</t>
  </si>
  <si>
    <t>5,491.00</t>
  </si>
  <si>
    <t>3,096,194</t>
  </si>
  <si>
    <t>5,126.50</t>
  </si>
  <si>
    <t>5,305.25</t>
  </si>
  <si>
    <t>4,940.50</t>
  </si>
  <si>
    <t>5,020.25</t>
  </si>
  <si>
    <t>2,438,061</t>
  </si>
  <si>
    <t>5,007.00</t>
  </si>
  <si>
    <t>5,286.50</t>
  </si>
  <si>
    <t>4,832.00</t>
  </si>
  <si>
    <t>5,097.25</t>
  </si>
  <si>
    <t>3,673,583</t>
  </si>
  <si>
    <t>5,423.00</t>
  </si>
  <si>
    <t>5,435.00</t>
  </si>
  <si>
    <t>5,074.00</t>
  </si>
  <si>
    <t>5,110.25</t>
  </si>
  <si>
    <t>3,678,162</t>
  </si>
  <si>
    <t>5,550.50</t>
  </si>
  <si>
    <t>5,564.75</t>
  </si>
  <si>
    <t>5,415.25</t>
  </si>
  <si>
    <t>5,432.75</t>
  </si>
  <si>
    <t>2,470,412</t>
  </si>
  <si>
    <t>5,672.00</t>
  </si>
  <si>
    <t>5,773.25</t>
  </si>
  <si>
    <t>5,566.25</t>
  </si>
  <si>
    <t>5,712.25</t>
  </si>
  <si>
    <t>2,060,456</t>
  </si>
  <si>
    <t>5,644.25</t>
  </si>
  <si>
    <t>5,694.75</t>
  </si>
  <si>
    <t>5,600.25</t>
  </si>
  <si>
    <t>5,674.50</t>
  </si>
  <si>
    <t>1,871,505</t>
  </si>
  <si>
    <t>5,590.00</t>
  </si>
  <si>
    <t>5,672.75</t>
  </si>
  <si>
    <t>5,533.75</t>
  </si>
  <si>
    <t>5,653.25</t>
  </si>
  <si>
    <t>2,229,839</t>
  </si>
  <si>
    <t>5,741.75</t>
  </si>
  <si>
    <t>5,747.75</t>
  </si>
  <si>
    <t>5,602.25</t>
  </si>
  <si>
    <t>5,623.00</t>
  </si>
  <si>
    <t>1,910,914</t>
  </si>
  <si>
    <t>5,737.25</t>
  </si>
  <si>
    <t>5,779.75</t>
  </si>
  <si>
    <t>5,720.00</t>
  </si>
  <si>
    <t>5,739.25</t>
  </si>
  <si>
    <t>1,575,855</t>
  </si>
  <si>
    <t>5,831.00</t>
  </si>
  <si>
    <t>5,836.50</t>
  </si>
  <si>
    <t>5,743.00</t>
  </si>
  <si>
    <t>5,759.50</t>
  </si>
  <si>
    <t>1,483,959</t>
  </si>
  <si>
    <t>5,837.25</t>
  </si>
  <si>
    <t>5,802.25</t>
  </si>
  <si>
    <t>5,826.50</t>
  </si>
  <si>
    <t>1,078,548</t>
  </si>
  <si>
    <t>5,740.00</t>
  </si>
  <si>
    <t>5,825.50</t>
  </si>
  <si>
    <t>5,739.00</t>
  </si>
  <si>
    <t>5,815.50</t>
  </si>
  <si>
    <t>1,404,629</t>
  </si>
  <si>
    <t>5,664.00</t>
  </si>
  <si>
    <t>5,674.25</t>
  </si>
  <si>
    <t>5,597.50</t>
  </si>
  <si>
    <t>5,617.80</t>
  </si>
  <si>
    <t>1,629,871</t>
  </si>
  <si>
    <t>5,680.00</t>
  </si>
  <si>
    <t>5,714.25</t>
  </si>
  <si>
    <t>5,631.50</t>
  </si>
  <si>
    <t>5,618.50</t>
  </si>
  <si>
    <t>5,718.50</t>
  </si>
  <si>
    <t>5,606.25</t>
  </si>
  <si>
    <t>5,678.50</t>
  </si>
  <si>
    <t>5,686.25</t>
  </si>
  <si>
    <t>5,600.00</t>
  </si>
  <si>
    <t>5,618.00</t>
  </si>
  <si>
    <t>1,111,733</t>
  </si>
  <si>
    <t>5,626.75</t>
  </si>
  <si>
    <t>5,707.50</t>
  </si>
  <si>
    <t>5,599.00</t>
  </si>
  <si>
    <t>5,680.25</t>
  </si>
  <si>
    <t>2,086,734</t>
  </si>
  <si>
    <t>5,540.00</t>
  </si>
  <si>
    <t>5,648.75</t>
  </si>
  <si>
    <t>5,538.75</t>
  </si>
  <si>
    <t>5,640.00</t>
  </si>
  <si>
    <t>2,191,954</t>
  </si>
  <si>
    <t>5,596.50</t>
  </si>
  <si>
    <t>5,509.25</t>
  </si>
  <si>
    <t>5,527.50</t>
  </si>
  <si>
    <t>2,163,776</t>
  </si>
  <si>
    <t>5,580.00</t>
  </si>
  <si>
    <t>5,675.00</t>
  </si>
  <si>
    <t>5,550.25</t>
  </si>
  <si>
    <t>5,604.75</t>
  </si>
  <si>
    <t>2,004,740</t>
  </si>
  <si>
    <t>5,622.00</t>
  </si>
  <si>
    <t>5,651.75</t>
  </si>
  <si>
    <t>5,534.00</t>
  </si>
  <si>
    <t>5,577.00</t>
  </si>
  <si>
    <t>2,623,963</t>
  </si>
  <si>
    <t>Copyright © 2026 Yahoo. All rights reserved.</t>
  </si>
  <si>
    <t>What's trending</t>
  </si>
  <si>
    <t>Dow JonesS&amp;P 500DAX IndexNvidiaTeslaDJTTariffs</t>
  </si>
  <si>
    <t>Explore more</t>
  </si>
  <si>
    <t>MortgagesCredit CardsSectorsCrypto HeatmapFinancial News</t>
  </si>
  <si>
    <t>About</t>
  </si>
  <si>
    <r>
      <rPr>
        <b/>
        <u/>
        <sz val="18"/>
        <color theme="1"/>
        <rFont val="&quot;GT America&quot;, Arial, sans-serif"/>
      </rPr>
      <t>Data Disclaimer</t>
    </r>
  </si>
  <si>
    <t>Co1 Adj Close</t>
  </si>
  <si>
    <t>Co2 Adj Close</t>
  </si>
  <si>
    <t>Co3 Adj Close</t>
  </si>
  <si>
    <t>C01 Arithmetic</t>
  </si>
  <si>
    <t>CO2 Arithmetic</t>
  </si>
  <si>
    <t>CO3 Arithmetic</t>
  </si>
  <si>
    <t xml:space="preserve">C01 Geometric  </t>
  </si>
  <si>
    <t xml:space="preserve">C02 Geometric  </t>
  </si>
  <si>
    <t xml:space="preserve">C03 Geometric  </t>
  </si>
  <si>
    <t>CO1</t>
  </si>
  <si>
    <t>CO2</t>
  </si>
  <si>
    <t>Co1</t>
  </si>
  <si>
    <t>Co2</t>
  </si>
  <si>
    <t>Max</t>
  </si>
  <si>
    <t>15%          =&gt;</t>
  </si>
  <si>
    <t>A Chi-Square test is conducted to determine whether the annual volatility of Malibu boat’s stock returns is equal to the value of 15% assumed by a portfolio manager.</t>
  </si>
  <si>
    <t>Min</t>
  </si>
  <si>
    <t>H₀: σ² = 0.00043</t>
  </si>
  <si>
    <t>H₀: σ² = 6.23</t>
  </si>
  <si>
    <t>A Chi-Square test is conducted to determine whether the annual volatility of Alibaba’s stock returns is equal to the value of 15% assumed by a portfolio manager.</t>
  </si>
  <si>
    <t>range:</t>
  </si>
  <si>
    <t>H₁: σ² ≠ 0.00043</t>
  </si>
  <si>
    <t>H₁: σ² ≠ 6.23</t>
  </si>
  <si>
    <t>n</t>
  </si>
  <si>
    <t>Q3</t>
  </si>
  <si>
    <t>s</t>
  </si>
  <si>
    <t>Q1</t>
  </si>
  <si>
    <t>σ₀</t>
  </si>
  <si>
    <t>IQR, Interquartile range= q3-q1</t>
  </si>
  <si>
    <t>α</t>
  </si>
  <si>
    <t>DOF</t>
  </si>
  <si>
    <t>Mean</t>
  </si>
  <si>
    <t>s²</t>
  </si>
  <si>
    <t>Mean Absolute Deviation</t>
  </si>
  <si>
    <t>σ₀²</t>
  </si>
  <si>
    <t>Sample Variance</t>
  </si>
  <si>
    <t>χ²</t>
  </si>
  <si>
    <t>χ² = DOF*s² / σ₀²</t>
  </si>
  <si>
    <t>Sample Standard Deviation</t>
  </si>
  <si>
    <t>P value</t>
  </si>
  <si>
    <t>CV</t>
  </si>
  <si>
    <t>Conclusion</t>
  </si>
  <si>
    <t>Since the p-value is lower than the significance level (α = 0.05), the null hypothesis is rejected. This indicates that Alibaba’s actual volatility is significantly higher than the assumed annual volatility of 15%.</t>
  </si>
  <si>
    <t>Z min</t>
  </si>
  <si>
    <t>p = 0.0000 &lt; 0.05</t>
  </si>
  <si>
    <t>Since the p-value is lower than the significance level (α = 0.05), the null hypothesis is rejected. This indicates that Malibu boat’s actual volatility is significantly higher than the assumed annual volatility of 15%.</t>
  </si>
  <si>
    <t>Z max</t>
  </si>
  <si>
    <t>Cov</t>
  </si>
  <si>
    <t>A financial analyst wants to test whether Alibaba Inc. is riskier than Malibu boats using variance as the measure of risk. Assume returns are normally distributed and use a 5 percent significance level.</t>
  </si>
  <si>
    <t>Correlation</t>
  </si>
  <si>
    <t>R^2</t>
  </si>
  <si>
    <t>Tbill</t>
  </si>
  <si>
    <t>H₀: σ1² ≤ σ2²</t>
  </si>
  <si>
    <t>Sharpe ratio</t>
  </si>
  <si>
    <t>H₁: σ1 &gt; σ2²</t>
  </si>
  <si>
    <t>s1</t>
  </si>
  <si>
    <t>s2</t>
  </si>
  <si>
    <t>n1</t>
  </si>
  <si>
    <t>n2</t>
  </si>
  <si>
    <t>s1²</t>
  </si>
  <si>
    <t>s2²</t>
  </si>
  <si>
    <t>dof1</t>
  </si>
  <si>
    <t>dof2</t>
  </si>
  <si>
    <t>F = s₁² / s₂²</t>
  </si>
  <si>
    <t>Critical value</t>
  </si>
  <si>
    <t>Decision rule in term of critical value</t>
  </si>
  <si>
    <t>0.664973 &lt; 1.585</t>
  </si>
  <si>
    <t>Fail to Reject H0.</t>
  </si>
  <si>
    <t>Decision rule in terms of p value</t>
  </si>
  <si>
    <t>0.927722 &gt; 0.05</t>
  </si>
  <si>
    <t>Conclusion: There is insufficient evidence at the 5 percent significance level to conclude that Alibaba is riskier than Malibu Boats.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</si>
</sst>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\.mm"/>
  </numFmts>
  <fonts count="24">
    <font>
      <sz val="10"/>
      <color rgb="FF000000"/>
      <name val="Arial"/>
      <scheme val="minor"/>
    </font>
    <font>
      <sz val="9"/>
      <color rgb="FF000000"/>
      <name val="&quot;GT America&quot;"/>
    </font>
    <font>
      <sz val="9"/>
      <color rgb="FF000000"/>
      <name val="Arial"/>
    </font>
    <font>
      <sz val="11"/>
      <color rgb="FF000000"/>
      <name val="Arial"/>
    </font>
    <font>
      <sz val="11"/>
      <color rgb="FF000000"/>
      <name val="&quot;GT America&quot;"/>
    </font>
    <font>
      <b/>
      <u/>
      <sz val="18"/>
      <color rgb="FF0000FF"/>
      <name val="Arial"/>
    </font>
    <font>
      <b/>
      <sz val="18"/>
      <color rgb="FF000000"/>
      <name val="&quot;GT America Condensed&quot;"/>
    </font>
    <font>
      <sz val="10"/>
      <color rgb="FF000000"/>
      <name val="Arial"/>
      <scheme val="minor"/>
    </font>
    <font>
      <sz val="9"/>
      <color rgb="FF000000"/>
      <name val="Inherit"/>
    </font>
    <font>
      <sz val="11"/>
      <color rgb="FF000000"/>
      <name val="Inherit"/>
    </font>
    <font>
      <b/>
      <sz val="18"/>
      <color rgb="FF000000"/>
      <name val="&quot;GT America&quot;"/>
    </font>
    <font>
      <b/>
      <sz val="9"/>
      <color rgb="FF000000"/>
      <name val="&quot;GT America&quot;"/>
    </font>
    <font>
      <sz val="9"/>
      <color theme="1"/>
      <name val="&quot;GT America&quot;"/>
    </font>
    <font>
      <sz val="11"/>
      <color theme="1"/>
      <name val="&quot;GT America&quot;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8"/>
      <color theme="1"/>
      <name val="&quot;GT America&quot;"/>
    </font>
    <font>
      <b/>
      <u/>
      <sz val="18"/>
      <color theme="1"/>
      <name val="&quot;GT America&quot;"/>
    </font>
    <font>
      <sz val="9"/>
      <color theme="1"/>
      <name val="Arial"/>
    </font>
    <font>
      <b/>
      <sz val="10"/>
      <color rgb="FF000000"/>
      <name val="&quot;Aptos Narrow&quot;"/>
    </font>
    <font>
      <b/>
      <sz val="10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u/>
      <sz val="18"/>
      <color theme="1"/>
      <name val="&quot;GT America&quot;, Arial, sans-serif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164" fontId="1" fillId="2" borderId="0" xfId="0" applyNumberFormat="1" applyFont="1" applyFill="1" applyAlignment="1">
      <alignment horizontal="left"/>
    </xf>
    <xf numFmtId="4" fontId="1" fillId="2" borderId="0" xfId="0" applyNumberFormat="1" applyFont="1" applyFill="1" applyAlignment="1">
      <alignment horizontal="right"/>
    </xf>
    <xf numFmtId="4" fontId="1" fillId="3" borderId="0" xfId="0" applyNumberFormat="1" applyFont="1" applyFill="1" applyAlignment="1">
      <alignment horizontal="right"/>
    </xf>
    <xf numFmtId="4" fontId="2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left"/>
    </xf>
    <xf numFmtId="4" fontId="4" fillId="2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right"/>
    </xf>
    <xf numFmtId="0" fontId="5" fillId="2" borderId="0" xfId="0" applyFont="1" applyFill="1"/>
    <xf numFmtId="164" fontId="4" fillId="2" borderId="0" xfId="0" applyNumberFormat="1" applyFont="1" applyFill="1" applyAlignment="1">
      <alignment horizontal="left"/>
    </xf>
    <xf numFmtId="0" fontId="6" fillId="2" borderId="0" xfId="0" applyFont="1" applyFill="1"/>
    <xf numFmtId="0" fontId="7" fillId="2" borderId="0" xfId="0" applyFont="1" applyFill="1"/>
    <xf numFmtId="0" fontId="7" fillId="3" borderId="0" xfId="0" applyFont="1" applyFill="1"/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165" fontId="9" fillId="2" borderId="0" xfId="0" applyNumberFormat="1" applyFont="1" applyFill="1" applyAlignment="1">
      <alignment horizontal="left"/>
    </xf>
    <xf numFmtId="0" fontId="1" fillId="2" borderId="0" xfId="0" applyFont="1" applyFill="1"/>
    <xf numFmtId="0" fontId="10" fillId="2" borderId="0" xfId="0" applyFont="1" applyFill="1"/>
    <xf numFmtId="0" fontId="11" fillId="2" borderId="0" xfId="0" applyFont="1" applyFill="1" applyAlignment="1">
      <alignment horizontal="left"/>
    </xf>
    <xf numFmtId="164" fontId="6" fillId="2" borderId="0" xfId="0" applyNumberFormat="1" applyFont="1" applyFill="1"/>
    <xf numFmtId="4" fontId="7" fillId="2" borderId="0" xfId="0" applyNumberFormat="1" applyFont="1" applyFill="1"/>
    <xf numFmtId="4" fontId="7" fillId="3" borderId="0" xfId="0" applyNumberFormat="1" applyFont="1" applyFill="1"/>
    <xf numFmtId="164" fontId="8" fillId="2" borderId="0" xfId="0" applyNumberFormat="1" applyFont="1" applyFill="1" applyAlignment="1">
      <alignment horizontal="left"/>
    </xf>
    <xf numFmtId="164" fontId="9" fillId="2" borderId="0" xfId="0" applyNumberFormat="1" applyFont="1" applyFill="1" applyAlignment="1">
      <alignment horizontal="left"/>
    </xf>
    <xf numFmtId="164" fontId="1" fillId="2" borderId="0" xfId="0" applyNumberFormat="1" applyFont="1" applyFill="1"/>
    <xf numFmtId="164" fontId="10" fillId="2" borderId="0" xfId="0" applyNumberFormat="1" applyFont="1" applyFill="1"/>
    <xf numFmtId="164" fontId="7" fillId="2" borderId="0" xfId="0" applyNumberFormat="1" applyFont="1" applyFill="1"/>
    <xf numFmtId="0" fontId="12" fillId="2" borderId="0" xfId="0" applyFont="1" applyFill="1" applyAlignment="1">
      <alignment horizontal="left"/>
    </xf>
    <xf numFmtId="4" fontId="12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left"/>
    </xf>
    <xf numFmtId="4" fontId="13" fillId="2" borderId="0" xfId="0" applyNumberFormat="1" applyFont="1" applyFill="1" applyAlignment="1">
      <alignment horizontal="right"/>
    </xf>
    <xf numFmtId="0" fontId="14" fillId="0" borderId="0" xfId="0" applyFont="1"/>
    <xf numFmtId="0" fontId="12" fillId="2" borderId="0" xfId="0" applyFont="1" applyFill="1"/>
    <xf numFmtId="4" fontId="15" fillId="2" borderId="0" xfId="0" applyNumberFormat="1" applyFont="1" applyFill="1"/>
    <xf numFmtId="0" fontId="16" fillId="2" borderId="0" xfId="0" applyFont="1" applyFill="1"/>
    <xf numFmtId="0" fontId="17" fillId="2" borderId="0" xfId="0" applyFont="1" applyFill="1"/>
    <xf numFmtId="4" fontId="2" fillId="3" borderId="0" xfId="0" applyNumberFormat="1" applyFont="1" applyFill="1" applyAlignment="1">
      <alignment horizontal="right"/>
    </xf>
    <xf numFmtId="4" fontId="18" fillId="3" borderId="0" xfId="0" applyNumberFormat="1" applyFont="1" applyFill="1" applyAlignment="1">
      <alignment horizontal="right"/>
    </xf>
    <xf numFmtId="0" fontId="15" fillId="0" borderId="0" xfId="0" applyFont="1"/>
    <xf numFmtId="0" fontId="19" fillId="0" borderId="0" xfId="0" applyFont="1"/>
    <xf numFmtId="4" fontId="3" fillId="3" borderId="0" xfId="0" applyNumberFormat="1" applyFont="1" applyFill="1" applyAlignment="1">
      <alignment horizontal="right"/>
    </xf>
    <xf numFmtId="4" fontId="13" fillId="3" borderId="0" xfId="0" applyNumberFormat="1" applyFont="1" applyFill="1" applyAlignment="1">
      <alignment horizontal="right"/>
    </xf>
    <xf numFmtId="0" fontId="20" fillId="0" borderId="0" xfId="0" applyFont="1"/>
    <xf numFmtId="4" fontId="15" fillId="0" borderId="0" xfId="0" applyNumberFormat="1" applyFont="1"/>
    <xf numFmtId="0" fontId="21" fillId="4" borderId="0" xfId="0" applyFont="1" applyFill="1"/>
    <xf numFmtId="0" fontId="21" fillId="0" borderId="0" xfId="0" applyFont="1"/>
    <xf numFmtId="0" fontId="21" fillId="0" borderId="0" xfId="0" applyFont="1" applyAlignment="1">
      <alignment horizontal="right"/>
    </xf>
    <xf numFmtId="10" fontId="21" fillId="0" borderId="0" xfId="0" applyNumberFormat="1" applyFont="1" applyAlignment="1">
      <alignment horizontal="right"/>
    </xf>
    <xf numFmtId="0" fontId="22" fillId="0" borderId="0" xfId="0" applyFont="1"/>
    <xf numFmtId="0" fontId="21" fillId="5" borderId="0" xfId="0" applyFont="1" applyFill="1"/>
    <xf numFmtId="4" fontId="7" fillId="4" borderId="0" xfId="0" applyNumberFormat="1" applyFont="1" applyFill="1"/>
    <xf numFmtId="4" fontId="15" fillId="4" borderId="0" xfId="0" applyNumberFormat="1" applyFont="1" applyFill="1"/>
    <xf numFmtId="0" fontId="15" fillId="4" borderId="0" xfId="0" applyFont="1" applyFill="1"/>
    <xf numFmtId="0" fontId="2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co1x2x3!$K$1</c:f>
              <c:strCache>
                <c:ptCount val="1"/>
                <c:pt idx="0">
                  <c:v>C02 Geometric 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co1x2x3!$J$2:$J$1000</c:f>
              <c:numCache>
                <c:formatCode>General</c:formatCode>
                <c:ptCount val="999"/>
                <c:pt idx="0">
                  <c:v>2.2342994154583722E-2</c:v>
                </c:pt>
                <c:pt idx="1">
                  <c:v>-3.8880297812245923E-3</c:v>
                </c:pt>
                <c:pt idx="2">
                  <c:v>-6.4611277512880608E-2</c:v>
                </c:pt>
                <c:pt idx="3">
                  <c:v>-1.6237051651661467E-2</c:v>
                </c:pt>
                <c:pt idx="4">
                  <c:v>3.4963503049205868E-2</c:v>
                </c:pt>
                <c:pt idx="5">
                  <c:v>-1.4351672272977893E-2</c:v>
                </c:pt>
                <c:pt idx="6">
                  <c:v>-7.4313308431235461</c:v>
                </c:pt>
                <c:pt idx="7">
                  <c:v>7.3335989128364307</c:v>
                </c:pt>
                <c:pt idx="8">
                  <c:v>1.6032407531049009E-2</c:v>
                </c:pt>
                <c:pt idx="9">
                  <c:v>-3.4092330333739401E-2</c:v>
                </c:pt>
                <c:pt idx="10">
                  <c:v>5.874690524788932E-3</c:v>
                </c:pt>
                <c:pt idx="11">
                  <c:v>-3.4741351699953057E-2</c:v>
                </c:pt>
                <c:pt idx="12">
                  <c:v>7.2981444033497333E-3</c:v>
                </c:pt>
                <c:pt idx="13">
                  <c:v>-1.4229489103964764E-2</c:v>
                </c:pt>
                <c:pt idx="14">
                  <c:v>1.0415117028494014E-2</c:v>
                </c:pt>
                <c:pt idx="15">
                  <c:v>0</c:v>
                </c:pt>
                <c:pt idx="16">
                  <c:v>3.1584965199192051E-2</c:v>
                </c:pt>
                <c:pt idx="17">
                  <c:v>-2.77705931237213E-2</c:v>
                </c:pt>
                <c:pt idx="18">
                  <c:v>-7.2953331217689232</c:v>
                </c:pt>
                <c:pt idx="19">
                  <c:v>7.2946963818556556</c:v>
                </c:pt>
                <c:pt idx="20">
                  <c:v>5.745307855989955E-3</c:v>
                </c:pt>
                <c:pt idx="21">
                  <c:v>1.7110990518754084E-2</c:v>
                </c:pt>
                <c:pt idx="22">
                  <c:v>-0.11955432319452187</c:v>
                </c:pt>
                <c:pt idx="23">
                  <c:v>1.6312625051731592E-2</c:v>
                </c:pt>
                <c:pt idx="24">
                  <c:v>3.6487301082020057E-2</c:v>
                </c:pt>
                <c:pt idx="25">
                  <c:v>1.0102642177809526E-2</c:v>
                </c:pt>
                <c:pt idx="26">
                  <c:v>8.3423935083454023E-3</c:v>
                </c:pt>
                <c:pt idx="27">
                  <c:v>1.0918841905332074E-2</c:v>
                </c:pt>
                <c:pt idx="28">
                  <c:v>-1.648816323144164E-2</c:v>
                </c:pt>
                <c:pt idx="29">
                  <c:v>-1.6827687887815058E-2</c:v>
                </c:pt>
                <c:pt idx="30">
                  <c:v>5.1711141847141087E-3</c:v>
                </c:pt>
                <c:pt idx="31">
                  <c:v>-3.7412712848616546E-2</c:v>
                </c:pt>
                <c:pt idx="32">
                  <c:v>1.0632114331047333E-2</c:v>
                </c:pt>
                <c:pt idx="33">
                  <c:v>4.6491738690497719E-2</c:v>
                </c:pt>
                <c:pt idx="34">
                  <c:v>-4.4113616285530226E-2</c:v>
                </c:pt>
                <c:pt idx="35">
                  <c:v>-1.3010236736014775E-2</c:v>
                </c:pt>
                <c:pt idx="36">
                  <c:v>2.3481536603310177E-2</c:v>
                </c:pt>
                <c:pt idx="37">
                  <c:v>1.1494379425735212E-2</c:v>
                </c:pt>
                <c:pt idx="38">
                  <c:v>5.4911669400086738E-3</c:v>
                </c:pt>
                <c:pt idx="39">
                  <c:v>-2.7493525795644395E-3</c:v>
                </c:pt>
                <c:pt idx="40">
                  <c:v>1.2277625066194519E-2</c:v>
                </c:pt>
                <c:pt idx="41">
                  <c:v>-7.2626095423985744</c:v>
                </c:pt>
                <c:pt idx="42">
                  <c:v>7.315562156195333</c:v>
                </c:pt>
                <c:pt idx="43">
                  <c:v>3.8843057349497265E-2</c:v>
                </c:pt>
                <c:pt idx="44">
                  <c:v>3.1988970041214766E-2</c:v>
                </c:pt>
                <c:pt idx="45">
                  <c:v>1.4079782048113979E-2</c:v>
                </c:pt>
                <c:pt idx="46">
                  <c:v>-1.268069122877679E-2</c:v>
                </c:pt>
                <c:pt idx="47">
                  <c:v>-1.3212987776322488E-2</c:v>
                </c:pt>
                <c:pt idx="48">
                  <c:v>-1.2358550703796848E-2</c:v>
                </c:pt>
                <c:pt idx="49">
                  <c:v>-7.3641690298029649</c:v>
                </c:pt>
                <c:pt idx="50">
                  <c:v>7.3692998773853091</c:v>
                </c:pt>
                <c:pt idx="51">
                  <c:v>7.9187881524137096E-3</c:v>
                </c:pt>
                <c:pt idx="52">
                  <c:v>-1.6795596185247792E-2</c:v>
                </c:pt>
                <c:pt idx="53">
                  <c:v>3.0638321839318076E-3</c:v>
                </c:pt>
                <c:pt idx="54">
                  <c:v>6.4990822223007522E-3</c:v>
                </c:pt>
                <c:pt idx="55">
                  <c:v>1.0348488350310443E-2</c:v>
                </c:pt>
                <c:pt idx="56">
                  <c:v>-2.2287910410436498E-2</c:v>
                </c:pt>
                <c:pt idx="57">
                  <c:v>-2.3708732528161976E-3</c:v>
                </c:pt>
                <c:pt idx="58">
                  <c:v>-1.043253614801744E-2</c:v>
                </c:pt>
                <c:pt idx="59">
                  <c:v>-3.6758604464332371E-3</c:v>
                </c:pt>
                <c:pt idx="60">
                  <c:v>2.4309097082473335E-2</c:v>
                </c:pt>
                <c:pt idx="61">
                  <c:v>1.3679892694248104E-3</c:v>
                </c:pt>
                <c:pt idx="62">
                  <c:v>2.2846268851169707E-2</c:v>
                </c:pt>
                <c:pt idx="63">
                  <c:v>3.4553749242188896E-2</c:v>
                </c:pt>
                <c:pt idx="64">
                  <c:v>1.6076341849250407E-2</c:v>
                </c:pt>
                <c:pt idx="65">
                  <c:v>-3.971641121250559E-2</c:v>
                </c:pt>
                <c:pt idx="66">
                  <c:v>-1.1963548741770521E-2</c:v>
                </c:pt>
                <c:pt idx="67">
                  <c:v>7.0200358493405675E-3</c:v>
                </c:pt>
                <c:pt idx="68">
                  <c:v>-1.57263419318685E-2</c:v>
                </c:pt>
                <c:pt idx="69">
                  <c:v>2.3150805946214093E-2</c:v>
                </c:pt>
                <c:pt idx="70">
                  <c:v>-7.402771710511737</c:v>
                </c:pt>
                <c:pt idx="71">
                  <c:v>7.4608490117273423</c:v>
                </c:pt>
                <c:pt idx="72">
                  <c:v>6.8885425478467349E-2</c:v>
                </c:pt>
                <c:pt idx="73">
                  <c:v>1.3384908812384877E-2</c:v>
                </c:pt>
                <c:pt idx="74">
                  <c:v>-9.7522105692485709E-3</c:v>
                </c:pt>
                <c:pt idx="75">
                  <c:v>2.1251310583357615E-2</c:v>
                </c:pt>
                <c:pt idx="76">
                  <c:v>-4.8770494811340874E-2</c:v>
                </c:pt>
                <c:pt idx="77">
                  <c:v>-1.179477235223655E-3</c:v>
                </c:pt>
                <c:pt idx="78">
                  <c:v>-4.193728590752966E-2</c:v>
                </c:pt>
                <c:pt idx="79">
                  <c:v>2.866620901080804E-2</c:v>
                </c:pt>
                <c:pt idx="80">
                  <c:v>7.7579522897979153E-4</c:v>
                </c:pt>
                <c:pt idx="81">
                  <c:v>-2.0357914519445245E-2</c:v>
                </c:pt>
                <c:pt idx="82">
                  <c:v>-2.3300565592808218E-2</c:v>
                </c:pt>
                <c:pt idx="83">
                  <c:v>-3.2885681718769794E-2</c:v>
                </c:pt>
                <c:pt idx="84">
                  <c:v>1.9967989637799631E-2</c:v>
                </c:pt>
                <c:pt idx="85">
                  <c:v>-7.3313786274995559E-4</c:v>
                </c:pt>
                <c:pt idx="86">
                  <c:v>-2.1030506773609781E-2</c:v>
                </c:pt>
                <c:pt idx="87">
                  <c:v>-1.2834400771541132E-2</c:v>
                </c:pt>
                <c:pt idx="88">
                  <c:v>-0.14300637702274416</c:v>
                </c:pt>
                <c:pt idx="89">
                  <c:v>-2.396595820240385E-2</c:v>
                </c:pt>
                <c:pt idx="90">
                  <c:v>-1.3694765979888241E-2</c:v>
                </c:pt>
                <c:pt idx="91">
                  <c:v>-2.0486522744793005E-2</c:v>
                </c:pt>
                <c:pt idx="92">
                  <c:v>1.4884267196123355E-2</c:v>
                </c:pt>
                <c:pt idx="93">
                  <c:v>3.8057027076115107E-2</c:v>
                </c:pt>
                <c:pt idx="94">
                  <c:v>1.6631119392626223E-2</c:v>
                </c:pt>
                <c:pt idx="95">
                  <c:v>4.2829702198965848E-2</c:v>
                </c:pt>
                <c:pt idx="96">
                  <c:v>1.9640565874546417E-2</c:v>
                </c:pt>
                <c:pt idx="97">
                  <c:v>-1.3214405622954738E-3</c:v>
                </c:pt>
                <c:pt idx="98">
                  <c:v>-5.268369116760113E-3</c:v>
                </c:pt>
                <c:pt idx="99">
                  <c:v>-2.6238125908804636E-3</c:v>
                </c:pt>
                <c:pt idx="100">
                  <c:v>4.1463645907144457E-2</c:v>
                </c:pt>
                <c:pt idx="101">
                  <c:v>2.0000666706669435E-2</c:v>
                </c:pt>
                <c:pt idx="102">
                  <c:v>-4.2617664516046087E-2</c:v>
                </c:pt>
                <c:pt idx="103">
                  <c:v>-7.6475850697287377E-3</c:v>
                </c:pt>
                <c:pt idx="104">
                  <c:v>9.3178710768908306E-3</c:v>
                </c:pt>
                <c:pt idx="105">
                  <c:v>-2.0844427148629691E-2</c:v>
                </c:pt>
                <c:pt idx="106">
                  <c:v>-5.7885792399804528E-2</c:v>
                </c:pt>
                <c:pt idx="107">
                  <c:v>2.785086126420372E-3</c:v>
                </c:pt>
                <c:pt idx="108">
                  <c:v>-1.9942369744998568E-2</c:v>
                </c:pt>
                <c:pt idx="109">
                  <c:v>1.4379932658770135E-2</c:v>
                </c:pt>
                <c:pt idx="110">
                  <c:v>1.5420203518154184E-3</c:v>
                </c:pt>
                <c:pt idx="111">
                  <c:v>-2.8599454524364427E-2</c:v>
                </c:pt>
                <c:pt idx="112">
                  <c:v>3.603443301188252E-2</c:v>
                </c:pt>
                <c:pt idx="113">
                  <c:v>-8.052071996764526E-3</c:v>
                </c:pt>
                <c:pt idx="114">
                  <c:v>1.4916373520663766E-2</c:v>
                </c:pt>
                <c:pt idx="115">
                  <c:v>-1.1208087441744364E-2</c:v>
                </c:pt>
                <c:pt idx="116">
                  <c:v>6.8344472302969894E-3</c:v>
                </c:pt>
                <c:pt idx="117">
                  <c:v>-3.9724135235375387E-2</c:v>
                </c:pt>
                <c:pt idx="118">
                  <c:v>3.6014444689074698E-3</c:v>
                </c:pt>
                <c:pt idx="119">
                  <c:v>-6.2940414584536537E-3</c:v>
                </c:pt>
                <c:pt idx="120">
                  <c:v>5.0921182368371945E-3</c:v>
                </c:pt>
                <c:pt idx="121">
                  <c:v>1.9406309444079083E-2</c:v>
                </c:pt>
                <c:pt idx="122">
                  <c:v>-3.6083289162670312E-2</c:v>
                </c:pt>
                <c:pt idx="123">
                  <c:v>5.3378346569018999E-2</c:v>
                </c:pt>
                <c:pt idx="124">
                  <c:v>-1.3614071654921484E-2</c:v>
                </c:pt>
                <c:pt idx="125">
                  <c:v>-1.4946137611806619E-2</c:v>
                </c:pt>
                <c:pt idx="126">
                  <c:v>-1.8893949359961512E-2</c:v>
                </c:pt>
                <c:pt idx="127">
                  <c:v>1.376031284021691E-2</c:v>
                </c:pt>
                <c:pt idx="128">
                  <c:v>4.4972160824179909E-2</c:v>
                </c:pt>
                <c:pt idx="129">
                  <c:v>-1.5630202540164593E-2</c:v>
                </c:pt>
                <c:pt idx="130">
                  <c:v>-2.934195828401532E-2</c:v>
                </c:pt>
                <c:pt idx="131">
                  <c:v>1.2121360532345041E-2</c:v>
                </c:pt>
                <c:pt idx="132">
                  <c:v>-0.18637835748956921</c:v>
                </c:pt>
                <c:pt idx="133">
                  <c:v>3.1618107390464126E-2</c:v>
                </c:pt>
                <c:pt idx="134">
                  <c:v>-1.9141815703320537E-2</c:v>
                </c:pt>
                <c:pt idx="135">
                  <c:v>-4.0910310190163694E-3</c:v>
                </c:pt>
                <c:pt idx="136">
                  <c:v>8.6570730856127112E-2</c:v>
                </c:pt>
                <c:pt idx="137">
                  <c:v>-6.1026541685627054E-3</c:v>
                </c:pt>
                <c:pt idx="138">
                  <c:v>-1.2914041266747382E-2</c:v>
                </c:pt>
                <c:pt idx="139">
                  <c:v>1.4020848241938451E-2</c:v>
                </c:pt>
                <c:pt idx="140">
                  <c:v>-6.0723344192406244E-3</c:v>
                </c:pt>
                <c:pt idx="141">
                  <c:v>-3.8451022381052885E-3</c:v>
                </c:pt>
                <c:pt idx="142">
                  <c:v>-1.3072081567352888E-2</c:v>
                </c:pt>
                <c:pt idx="143">
                  <c:v>4.3124426633754619E-2</c:v>
                </c:pt>
                <c:pt idx="144">
                  <c:v>9.0716228402387133E-2</c:v>
                </c:pt>
                <c:pt idx="145">
                  <c:v>1.3389581946542864E-2</c:v>
                </c:pt>
                <c:pt idx="146">
                  <c:v>-1.1222062906263913E-2</c:v>
                </c:pt>
                <c:pt idx="147">
                  <c:v>-2.7817780261898323E-2</c:v>
                </c:pt>
                <c:pt idx="148">
                  <c:v>-1.4069982145786175E-2</c:v>
                </c:pt>
                <c:pt idx="149">
                  <c:v>1.1059745074361894E-2</c:v>
                </c:pt>
                <c:pt idx="150">
                  <c:v>2.5572169711158887E-2</c:v>
                </c:pt>
                <c:pt idx="151">
                  <c:v>-2.6773731886361743E-2</c:v>
                </c:pt>
                <c:pt idx="152">
                  <c:v>-1.9620129966904178E-2</c:v>
                </c:pt>
                <c:pt idx="153">
                  <c:v>-3.9537684719057879E-2</c:v>
                </c:pt>
                <c:pt idx="154">
                  <c:v>0</c:v>
                </c:pt>
                <c:pt idx="155">
                  <c:v>3.4013638234904817E-3</c:v>
                </c:pt>
                <c:pt idx="156">
                  <c:v>-1.418641179900628E-3</c:v>
                </c:pt>
                <c:pt idx="157">
                  <c:v>-4.4365467998092309E-2</c:v>
                </c:pt>
                <c:pt idx="158">
                  <c:v>2.6660916751819905E-2</c:v>
                </c:pt>
                <c:pt idx="159">
                  <c:v>7.7284213127730275E-2</c:v>
                </c:pt>
                <c:pt idx="160">
                  <c:v>9.6765194112543116E-3</c:v>
                </c:pt>
                <c:pt idx="161">
                  <c:v>-1.2381254343393489E-2</c:v>
                </c:pt>
                <c:pt idx="162">
                  <c:v>1.3293247110662704E-2</c:v>
                </c:pt>
                <c:pt idx="163">
                  <c:v>-3.6429912785009805E-3</c:v>
                </c:pt>
                <c:pt idx="164">
                  <c:v>-3.863779270541394E-2</c:v>
                </c:pt>
                <c:pt idx="165">
                  <c:v>-2.5048092313996968E-2</c:v>
                </c:pt>
                <c:pt idx="166">
                  <c:v>-1.2994533131853626E-2</c:v>
                </c:pt>
                <c:pt idx="167">
                  <c:v>1.8411510027288934E-2</c:v>
                </c:pt>
                <c:pt idx="168">
                  <c:v>7.1726028344733577E-3</c:v>
                </c:pt>
                <c:pt idx="169">
                  <c:v>2.1537503047957759E-2</c:v>
                </c:pt>
                <c:pt idx="170">
                  <c:v>-2.2688582311745437E-2</c:v>
                </c:pt>
                <c:pt idx="171">
                  <c:v>-3.7318831886113506E-3</c:v>
                </c:pt>
                <c:pt idx="172">
                  <c:v>3.2321928482182863E-2</c:v>
                </c:pt>
                <c:pt idx="173">
                  <c:v>7.5269663798323727E-2</c:v>
                </c:pt>
                <c:pt idx="174">
                  <c:v>-2.7692140820953521E-2</c:v>
                </c:pt>
                <c:pt idx="175">
                  <c:v>1.3121087962697058E-2</c:v>
                </c:pt>
                <c:pt idx="176">
                  <c:v>6.6256749721372533E-3</c:v>
                </c:pt>
                <c:pt idx="177">
                  <c:v>-3.6367644170874833E-2</c:v>
                </c:pt>
                <c:pt idx="178">
                  <c:v>1.1049836186584935E-2</c:v>
                </c:pt>
                <c:pt idx="179">
                  <c:v>2.6584833811061439E-2</c:v>
                </c:pt>
                <c:pt idx="180">
                  <c:v>-2.2162427941037799E-3</c:v>
                </c:pt>
                <c:pt idx="181">
                  <c:v>8.2566362991189721E-3</c:v>
                </c:pt>
                <c:pt idx="182">
                  <c:v>-2.0827512086361674E-2</c:v>
                </c:pt>
                <c:pt idx="183">
                  <c:v>-7.2757803071145615</c:v>
                </c:pt>
                <c:pt idx="184">
                  <c:v>7.2667642348467236</c:v>
                </c:pt>
                <c:pt idx="185">
                  <c:v>-1.4136682874316311E-2</c:v>
                </c:pt>
                <c:pt idx="186">
                  <c:v>-1.9940237721283907E-2</c:v>
                </c:pt>
                <c:pt idx="187">
                  <c:v>3.779785512129049E-2</c:v>
                </c:pt>
                <c:pt idx="188">
                  <c:v>2.2303421761514283E-2</c:v>
                </c:pt>
                <c:pt idx="189">
                  <c:v>9.5755599195721311E-3</c:v>
                </c:pt>
                <c:pt idx="190">
                  <c:v>-1.2113632348043043E-2</c:v>
                </c:pt>
                <c:pt idx="191">
                  <c:v>2.6651119835280165E-2</c:v>
                </c:pt>
                <c:pt idx="192">
                  <c:v>4.424470179775742E-2</c:v>
                </c:pt>
                <c:pt idx="193">
                  <c:v>-2.4858518853713537E-2</c:v>
                </c:pt>
                <c:pt idx="194">
                  <c:v>0</c:v>
                </c:pt>
                <c:pt idx="195">
                  <c:v>-7.3382528192559322</c:v>
                </c:pt>
                <c:pt idx="196">
                  <c:v>7.3182160182017544</c:v>
                </c:pt>
                <c:pt idx="197">
                  <c:v>3.9129660388141009E-2</c:v>
                </c:pt>
                <c:pt idx="198">
                  <c:v>-7.3520464783707729</c:v>
                </c:pt>
                <c:pt idx="199">
                  <c:v>-1.99319779141667E-3</c:v>
                </c:pt>
                <c:pt idx="200">
                  <c:v>7.2778805697364231</c:v>
                </c:pt>
                <c:pt idx="201">
                  <c:v>0</c:v>
                </c:pt>
                <c:pt idx="202">
                  <c:v>-9.3575230529553185E-3</c:v>
                </c:pt>
                <c:pt idx="203">
                  <c:v>-9.3095429532013478E-4</c:v>
                </c:pt>
                <c:pt idx="204">
                  <c:v>8.7227967403537346E-3</c:v>
                </c:pt>
                <c:pt idx="205">
                  <c:v>-1.6447228782935083E-2</c:v>
                </c:pt>
                <c:pt idx="206">
                  <c:v>-4.2997609242203753E-3</c:v>
                </c:pt>
                <c:pt idx="207">
                  <c:v>0.10593956433112375</c:v>
                </c:pt>
                <c:pt idx="208">
                  <c:v>-4.724764305984494E-2</c:v>
                </c:pt>
                <c:pt idx="209">
                  <c:v>3.3374979369059338E-2</c:v>
                </c:pt>
                <c:pt idx="210">
                  <c:v>-7.3509192300761912</c:v>
                </c:pt>
                <c:pt idx="211">
                  <c:v>7.352600750566566</c:v>
                </c:pt>
                <c:pt idx="212">
                  <c:v>-7.0434636317602767E-3</c:v>
                </c:pt>
                <c:pt idx="213">
                  <c:v>-7.3415800212461901</c:v>
                </c:pt>
                <c:pt idx="214">
                  <c:v>7.3881000368810827</c:v>
                </c:pt>
                <c:pt idx="215">
                  <c:v>-1.2180418556871072E-2</c:v>
                </c:pt>
                <c:pt idx="216">
                  <c:v>9.0341128675062114E-3</c:v>
                </c:pt>
                <c:pt idx="217">
                  <c:v>-6.6098692559997526E-3</c:v>
                </c:pt>
                <c:pt idx="218">
                  <c:v>5.9120325214697721E-3</c:v>
                </c:pt>
                <c:pt idx="219">
                  <c:v>1.8659228209035518E-2</c:v>
                </c:pt>
                <c:pt idx="220">
                  <c:v>7.8487737920712036E-3</c:v>
                </c:pt>
                <c:pt idx="221">
                  <c:v>-7.4153450138765322</c:v>
                </c:pt>
                <c:pt idx="222">
                  <c:v>7.2269658496383078E-3</c:v>
                </c:pt>
                <c:pt idx="223">
                  <c:v>-6.5583940880657096E-3</c:v>
                </c:pt>
                <c:pt idx="224">
                  <c:v>7.4616058743369429</c:v>
                </c:pt>
                <c:pt idx="225">
                  <c:v>-7.4570000126520721</c:v>
                </c:pt>
                <c:pt idx="226">
                  <c:v>7.435829305529106</c:v>
                </c:pt>
                <c:pt idx="227">
                  <c:v>2.6439819802978329E-2</c:v>
                </c:pt>
                <c:pt idx="228">
                  <c:v>-6.7482297181584605E-2</c:v>
                </c:pt>
                <c:pt idx="229">
                  <c:v>0.11897422102653649</c:v>
                </c:pt>
                <c:pt idx="230">
                  <c:v>-4.8846919468973272E-2</c:v>
                </c:pt>
                <c:pt idx="231">
                  <c:v>-7.5755174308382855E-2</c:v>
                </c:pt>
                <c:pt idx="232">
                  <c:v>-6.9905912083918983E-3</c:v>
                </c:pt>
                <c:pt idx="233">
                  <c:v>-9.6228032094553773E-2</c:v>
                </c:pt>
                <c:pt idx="234">
                  <c:v>3.1820135997988573E-2</c:v>
                </c:pt>
                <c:pt idx="235">
                  <c:v>-1.9575862695177539E-3</c:v>
                </c:pt>
                <c:pt idx="236">
                  <c:v>3.6850642634669604E-2</c:v>
                </c:pt>
                <c:pt idx="237">
                  <c:v>-4.1403496027583787E-2</c:v>
                </c:pt>
                <c:pt idx="238">
                  <c:v>2.8300671242950867E-2</c:v>
                </c:pt>
                <c:pt idx="239">
                  <c:v>1.5811935821833944E-2</c:v>
                </c:pt>
                <c:pt idx="240">
                  <c:v>-3.0062384101516917E-2</c:v>
                </c:pt>
                <c:pt idx="241">
                  <c:v>2.8029863076594452E-2</c:v>
                </c:pt>
                <c:pt idx="242">
                  <c:v>-9.4308546745498125E-3</c:v>
                </c:pt>
                <c:pt idx="243">
                  <c:v>-3.2324714081919462E-2</c:v>
                </c:pt>
                <c:pt idx="244">
                  <c:v>9.1295058617899168E-3</c:v>
                </c:pt>
                <c:pt idx="245">
                  <c:v>-2.68233887354206E-2</c:v>
                </c:pt>
                <c:pt idx="246">
                  <c:v>1.2763243596046834E-3</c:v>
                </c:pt>
                <c:pt idx="247">
                  <c:v>1.9994216529450937E-2</c:v>
                </c:pt>
                <c:pt idx="248">
                  <c:v>-7.787190551768677E-3</c:v>
                </c:pt>
                <c:pt idx="249">
                  <c:v>-1.2207025977682244E-2</c:v>
                </c:pt>
                <c:pt idx="250">
                  <c:v>-3.0500713647581505E-2</c:v>
                </c:pt>
              </c:numCache>
            </c:numRef>
          </c:xVal>
          <c:yVal>
            <c:numRef>
              <c:f>co1x2x3!$K$2:$K$1000</c:f>
              <c:numCache>
                <c:formatCode>General</c:formatCode>
                <c:ptCount val="999"/>
                <c:pt idx="0">
                  <c:v>4.395339536881817E-2</c:v>
                </c:pt>
                <c:pt idx="1">
                  <c:v>1.4045707885923716E-2</c:v>
                </c:pt>
                <c:pt idx="2">
                  <c:v>3.3698431215503626E-3</c:v>
                </c:pt>
                <c:pt idx="3">
                  <c:v>-2.2154005212124978E-2</c:v>
                </c:pt>
                <c:pt idx="4">
                  <c:v>-1.7258480882582201E-2</c:v>
                </c:pt>
                <c:pt idx="5">
                  <c:v>-5.0127337248281389E-2</c:v>
                </c:pt>
                <c:pt idx="6">
                  <c:v>-1.0813933127771071E-2</c:v>
                </c:pt>
                <c:pt idx="7">
                  <c:v>-2.6973157697330004E-2</c:v>
                </c:pt>
                <c:pt idx="8">
                  <c:v>-2.8170876966696221E-2</c:v>
                </c:pt>
                <c:pt idx="9">
                  <c:v>-5.4356858027072947E-3</c:v>
                </c:pt>
                <c:pt idx="10">
                  <c:v>2.157639203790254E-3</c:v>
                </c:pt>
                <c:pt idx="11">
                  <c:v>-1.0871441251376939E-2</c:v>
                </c:pt>
                <c:pt idx="12">
                  <c:v>1.166105340742387E-3</c:v>
                </c:pt>
                <c:pt idx="13">
                  <c:v>-9.6762463146663081E-3</c:v>
                </c:pt>
                <c:pt idx="14">
                  <c:v>2.185090843707924E-3</c:v>
                </c:pt>
                <c:pt idx="15">
                  <c:v>-1.9282690124406057E-3</c:v>
                </c:pt>
                <c:pt idx="16">
                  <c:v>-1.9080907076902711E-2</c:v>
                </c:pt>
                <c:pt idx="17">
                  <c:v>-3.4611100596098128E-2</c:v>
                </c:pt>
                <c:pt idx="18">
                  <c:v>-1.3239621496777239E-2</c:v>
                </c:pt>
                <c:pt idx="19">
                  <c:v>2.1305166870262949E-2</c:v>
                </c:pt>
                <c:pt idx="20">
                  <c:v>3.010662468845157E-3</c:v>
                </c:pt>
                <c:pt idx="21">
                  <c:v>2.9664647483591895E-2</c:v>
                </c:pt>
                <c:pt idx="22">
                  <c:v>-8.709427095063416E-3</c:v>
                </c:pt>
                <c:pt idx="23">
                  <c:v>-2.7945682997800852E-2</c:v>
                </c:pt>
                <c:pt idx="24">
                  <c:v>-2.8552716675027977E-2</c:v>
                </c:pt>
                <c:pt idx="25">
                  <c:v>-6.9241288622188066E-3</c:v>
                </c:pt>
                <c:pt idx="26">
                  <c:v>-2.7284203156196826E-2</c:v>
                </c:pt>
                <c:pt idx="27">
                  <c:v>-8.0592588483380991E-3</c:v>
                </c:pt>
                <c:pt idx="28">
                  <c:v>1.6878522282419307E-2</c:v>
                </c:pt>
                <c:pt idx="29">
                  <c:v>7.8468245337940841E-3</c:v>
                </c:pt>
                <c:pt idx="30">
                  <c:v>-1.0795229618091647E-2</c:v>
                </c:pt>
                <c:pt idx="31">
                  <c:v>-2.2545973693036857E-2</c:v>
                </c:pt>
                <c:pt idx="32">
                  <c:v>4.9222021713963317E-2</c:v>
                </c:pt>
                <c:pt idx="33">
                  <c:v>3.7943293792927019E-2</c:v>
                </c:pt>
                <c:pt idx="34">
                  <c:v>-1.8365933112594868E-2</c:v>
                </c:pt>
                <c:pt idx="35">
                  <c:v>-3.2887333378585792E-2</c:v>
                </c:pt>
                <c:pt idx="36">
                  <c:v>6.0440872902903777E-3</c:v>
                </c:pt>
                <c:pt idx="37">
                  <c:v>1.7156337814360292E-2</c:v>
                </c:pt>
                <c:pt idx="38">
                  <c:v>4.2001741814774382E-3</c:v>
                </c:pt>
                <c:pt idx="39">
                  <c:v>9.6838615621753721E-2</c:v>
                </c:pt>
                <c:pt idx="40">
                  <c:v>-2.2985001665864903E-2</c:v>
                </c:pt>
                <c:pt idx="41">
                  <c:v>5.126944401795392E-2</c:v>
                </c:pt>
                <c:pt idx="42">
                  <c:v>-2.788690706559746E-2</c:v>
                </c:pt>
                <c:pt idx="43">
                  <c:v>-3.4903920794794908E-2</c:v>
                </c:pt>
                <c:pt idx="44">
                  <c:v>3.333336419758217E-3</c:v>
                </c:pt>
                <c:pt idx="45">
                  <c:v>6.0616595651135877E-2</c:v>
                </c:pt>
                <c:pt idx="46">
                  <c:v>-5.3072180092926715E-3</c:v>
                </c:pt>
                <c:pt idx="47">
                  <c:v>-7.6390434009733152E-3</c:v>
                </c:pt>
                <c:pt idx="48">
                  <c:v>-2.4940607079923922E-2</c:v>
                </c:pt>
                <c:pt idx="49">
                  <c:v>1.4423008870311478E-2</c:v>
                </c:pt>
                <c:pt idx="50">
                  <c:v>-7.7666426450664038E-3</c:v>
                </c:pt>
                <c:pt idx="51">
                  <c:v>1.7869557023541857E-3</c:v>
                </c:pt>
                <c:pt idx="52">
                  <c:v>7.7805878796672933E-3</c:v>
                </c:pt>
                <c:pt idx="53">
                  <c:v>1.6627221603763155E-2</c:v>
                </c:pt>
                <c:pt idx="54">
                  <c:v>1.5624472456129746E-3</c:v>
                </c:pt>
                <c:pt idx="55">
                  <c:v>-1.4846078734247146E-2</c:v>
                </c:pt>
                <c:pt idx="56">
                  <c:v>-5.3443911027246348E-3</c:v>
                </c:pt>
                <c:pt idx="57">
                  <c:v>-3.6567504269471592E-2</c:v>
                </c:pt>
                <c:pt idx="58">
                  <c:v>-7.8060413012919511E-3</c:v>
                </c:pt>
                <c:pt idx="59">
                  <c:v>-1.2162825728077878E-2</c:v>
                </c:pt>
                <c:pt idx="60">
                  <c:v>1.8171921352668246E-2</c:v>
                </c:pt>
                <c:pt idx="61">
                  <c:v>-1.3817915420828579E-2</c:v>
                </c:pt>
                <c:pt idx="62">
                  <c:v>-1.2008217590850797E-3</c:v>
                </c:pt>
                <c:pt idx="63">
                  <c:v>5.5738679903670173E-3</c:v>
                </c:pt>
                <c:pt idx="64">
                  <c:v>-4.0568006956144299E-3</c:v>
                </c:pt>
                <c:pt idx="65">
                  <c:v>-1.9110258585919884E-2</c:v>
                </c:pt>
                <c:pt idx="66">
                  <c:v>-1.9239045726568482E-2</c:v>
                </c:pt>
                <c:pt idx="67">
                  <c:v>4.3295728247814011E-2</c:v>
                </c:pt>
                <c:pt idx="68">
                  <c:v>-1.9053673595465471E-3</c:v>
                </c:pt>
                <c:pt idx="69">
                  <c:v>3.7506798363486095E-3</c:v>
                </c:pt>
                <c:pt idx="70">
                  <c:v>-2.3416440993619368E-2</c:v>
                </c:pt>
                <c:pt idx="71">
                  <c:v>4.974563822101765E-2</c:v>
                </c:pt>
                <c:pt idx="72">
                  <c:v>-2.2860138625184464E-3</c:v>
                </c:pt>
                <c:pt idx="73">
                  <c:v>-3.5945824677725162E-2</c:v>
                </c:pt>
                <c:pt idx="74">
                  <c:v>-5.210143294744991E-3</c:v>
                </c:pt>
                <c:pt idx="75">
                  <c:v>1.266437869555404E-2</c:v>
                </c:pt>
                <c:pt idx="76">
                  <c:v>2.5104846427922781E-2</c:v>
                </c:pt>
                <c:pt idx="77">
                  <c:v>-3.8520257828699681E-2</c:v>
                </c:pt>
                <c:pt idx="78">
                  <c:v>1.2148064421691527E-2</c:v>
                </c:pt>
                <c:pt idx="79">
                  <c:v>-1.8136106266314334E-2</c:v>
                </c:pt>
                <c:pt idx="80">
                  <c:v>-3.1163561359317544E-2</c:v>
                </c:pt>
                <c:pt idx="81">
                  <c:v>-2.7089683363578309E-3</c:v>
                </c:pt>
                <c:pt idx="82">
                  <c:v>-7.6059656986256514E-3</c:v>
                </c:pt>
                <c:pt idx="83">
                  <c:v>1.6785882803929709E-2</c:v>
                </c:pt>
                <c:pt idx="84">
                  <c:v>3.1599442920149496E-3</c:v>
                </c:pt>
                <c:pt idx="85">
                  <c:v>-2.0423011715795653E-2</c:v>
                </c:pt>
                <c:pt idx="86">
                  <c:v>-1.6207618478127045E-2</c:v>
                </c:pt>
                <c:pt idx="87">
                  <c:v>-2.0328264182916739E-2</c:v>
                </c:pt>
                <c:pt idx="88">
                  <c:v>-3.4137250913049415E-2</c:v>
                </c:pt>
                <c:pt idx="89">
                  <c:v>1.8223611221249637E-2</c:v>
                </c:pt>
                <c:pt idx="90">
                  <c:v>-1.5330058481754521E-2</c:v>
                </c:pt>
                <c:pt idx="91">
                  <c:v>2.6826400453605438E-2</c:v>
                </c:pt>
                <c:pt idx="92">
                  <c:v>1.6157304751207156E-2</c:v>
                </c:pt>
                <c:pt idx="93">
                  <c:v>3.5768853365745874E-2</c:v>
                </c:pt>
                <c:pt idx="94">
                  <c:v>-4.8717505310268885E-3</c:v>
                </c:pt>
                <c:pt idx="95">
                  <c:v>-3.9988864219232902E-2</c:v>
                </c:pt>
                <c:pt idx="96">
                  <c:v>3.7711504970551889E-2</c:v>
                </c:pt>
                <c:pt idx="97">
                  <c:v>1.1802389062988449E-2</c:v>
                </c:pt>
                <c:pt idx="98">
                  <c:v>-4.9546929154867898E-3</c:v>
                </c:pt>
                <c:pt idx="99">
                  <c:v>1.8554536616278684E-2</c:v>
                </c:pt>
                <c:pt idx="100">
                  <c:v>-2.3964504126978682E-2</c:v>
                </c:pt>
                <c:pt idx="101">
                  <c:v>4.7888346841658574E-2</c:v>
                </c:pt>
                <c:pt idx="102">
                  <c:v>-8.8247432245730881E-2</c:v>
                </c:pt>
                <c:pt idx="103">
                  <c:v>-4.1945269444781663E-2</c:v>
                </c:pt>
                <c:pt idx="104">
                  <c:v>-1.1587806511161296E-3</c:v>
                </c:pt>
                <c:pt idx="105">
                  <c:v>-3.1965820277664279E-2</c:v>
                </c:pt>
                <c:pt idx="106">
                  <c:v>-4.3171286237846064E-3</c:v>
                </c:pt>
                <c:pt idx="107">
                  <c:v>-6.9428161333619778E-3</c:v>
                </c:pt>
                <c:pt idx="108">
                  <c:v>3.5261096856689558E-2</c:v>
                </c:pt>
                <c:pt idx="109">
                  <c:v>2.2406956641768463E-2</c:v>
                </c:pt>
                <c:pt idx="110">
                  <c:v>-6.5248537542003208E-3</c:v>
                </c:pt>
                <c:pt idx="111">
                  <c:v>4.5430056903085325E-2</c:v>
                </c:pt>
                <c:pt idx="112">
                  <c:v>-2.0497004069641944E-2</c:v>
                </c:pt>
                <c:pt idx="113">
                  <c:v>-5.5127871136948659E-3</c:v>
                </c:pt>
                <c:pt idx="114">
                  <c:v>7.8739997285686217E-2</c:v>
                </c:pt>
                <c:pt idx="115">
                  <c:v>-7.1487794136671874E-3</c:v>
                </c:pt>
                <c:pt idx="116">
                  <c:v>8.8057806212967042E-3</c:v>
                </c:pt>
                <c:pt idx="117">
                  <c:v>2.028959471293907E-3</c:v>
                </c:pt>
                <c:pt idx="118">
                  <c:v>-2.2456443440993016E-2</c:v>
                </c:pt>
                <c:pt idx="119">
                  <c:v>2.4119568651098978E-2</c:v>
                </c:pt>
                <c:pt idx="120">
                  <c:v>2.6043626518833282E-2</c:v>
                </c:pt>
                <c:pt idx="121">
                  <c:v>1.9036026752376881E-2</c:v>
                </c:pt>
                <c:pt idx="122">
                  <c:v>-2.4476662783716346E-3</c:v>
                </c:pt>
                <c:pt idx="123">
                  <c:v>7.6932734794605176E-2</c:v>
                </c:pt>
                <c:pt idx="124">
                  <c:v>-2.1785557332812323E-2</c:v>
                </c:pt>
                <c:pt idx="125">
                  <c:v>4.093530254825007E-2</c:v>
                </c:pt>
                <c:pt idx="126">
                  <c:v>4.061545305632195E-2</c:v>
                </c:pt>
                <c:pt idx="127">
                  <c:v>3.4975422369839922E-2</c:v>
                </c:pt>
                <c:pt idx="128">
                  <c:v>-4.1371797521367777E-2</c:v>
                </c:pt>
                <c:pt idx="129">
                  <c:v>-1.5273024154640073E-2</c:v>
                </c:pt>
                <c:pt idx="130">
                  <c:v>2.5956492870558154E-2</c:v>
                </c:pt>
                <c:pt idx="131">
                  <c:v>0.12137280450694087</c:v>
                </c:pt>
                <c:pt idx="132">
                  <c:v>-2.2002541857682838E-2</c:v>
                </c:pt>
                <c:pt idx="133">
                  <c:v>-1.5908135170769763E-2</c:v>
                </c:pt>
                <c:pt idx="134">
                  <c:v>-1.2875192894724211E-3</c:v>
                </c:pt>
                <c:pt idx="135">
                  <c:v>1.1403738770550299E-2</c:v>
                </c:pt>
                <c:pt idx="136">
                  <c:v>4.0249385865673074E-2</c:v>
                </c:pt>
                <c:pt idx="137">
                  <c:v>-1.1785640248472225E-2</c:v>
                </c:pt>
                <c:pt idx="138">
                  <c:v>-4.175720114634969E-3</c:v>
                </c:pt>
                <c:pt idx="139">
                  <c:v>-1.168247264910042E-2</c:v>
                </c:pt>
                <c:pt idx="140">
                  <c:v>1.1538779818132229E-3</c:v>
                </c:pt>
                <c:pt idx="141">
                  <c:v>-8.3764963790490532E-3</c:v>
                </c:pt>
                <c:pt idx="142">
                  <c:v>-3.6770619183117317E-2</c:v>
                </c:pt>
                <c:pt idx="143">
                  <c:v>3.5626360782827216E-2</c:v>
                </c:pt>
                <c:pt idx="144">
                  <c:v>3.1364057593247154E-2</c:v>
                </c:pt>
                <c:pt idx="145">
                  <c:v>-1.4393553932167796E-2</c:v>
                </c:pt>
                <c:pt idx="146">
                  <c:v>-4.9726606693783768E-3</c:v>
                </c:pt>
                <c:pt idx="147">
                  <c:v>8.270614978102465E-4</c:v>
                </c:pt>
                <c:pt idx="148">
                  <c:v>3.2117094221543477E-2</c:v>
                </c:pt>
                <c:pt idx="149">
                  <c:v>-3.9225768723447482E-3</c:v>
                </c:pt>
                <c:pt idx="150">
                  <c:v>3.6662870926327052E-3</c:v>
                </c:pt>
                <c:pt idx="151">
                  <c:v>-2.9955963085711274E-2</c:v>
                </c:pt>
                <c:pt idx="152">
                  <c:v>2.7311474447103974E-2</c:v>
                </c:pt>
                <c:pt idx="153">
                  <c:v>-1.6727601325262333E-2</c:v>
                </c:pt>
                <c:pt idx="154">
                  <c:v>-2.3105661248298777E-2</c:v>
                </c:pt>
                <c:pt idx="155">
                  <c:v>1.7508086166496066E-2</c:v>
                </c:pt>
                <c:pt idx="156">
                  <c:v>-9.2877357252814426E-3</c:v>
                </c:pt>
                <c:pt idx="157">
                  <c:v>-1.1734430795050906E-2</c:v>
                </c:pt>
                <c:pt idx="158">
                  <c:v>1.5372903344549934E-2</c:v>
                </c:pt>
                <c:pt idx="159">
                  <c:v>3.6517593905104947E-3</c:v>
                </c:pt>
                <c:pt idx="160">
                  <c:v>3.3264033570756059E-4</c:v>
                </c:pt>
                <c:pt idx="161">
                  <c:v>2.4671819327388014E-2</c:v>
                </c:pt>
                <c:pt idx="162">
                  <c:v>1.3474863799443295E-2</c:v>
                </c:pt>
                <c:pt idx="163">
                  <c:v>-1.0657599802629198E-2</c:v>
                </c:pt>
                <c:pt idx="164">
                  <c:v>7.7751299448026417E-2</c:v>
                </c:pt>
                <c:pt idx="165">
                  <c:v>1.3957610047275717E-2</c:v>
                </c:pt>
                <c:pt idx="166">
                  <c:v>7.4990629686035222E-4</c:v>
                </c:pt>
                <c:pt idx="167">
                  <c:v>2.6703729555090611E-2</c:v>
                </c:pt>
                <c:pt idx="168">
                  <c:v>-3.9283683929305757E-2</c:v>
                </c:pt>
                <c:pt idx="169">
                  <c:v>1.6055604860064545E-2</c:v>
                </c:pt>
                <c:pt idx="170">
                  <c:v>-2.2608768742560077E-2</c:v>
                </c:pt>
                <c:pt idx="171">
                  <c:v>-1.8322375744211569E-2</c:v>
                </c:pt>
                <c:pt idx="172">
                  <c:v>-2.9021085996268525E-2</c:v>
                </c:pt>
                <c:pt idx="173">
                  <c:v>4.9256850404047845E-3</c:v>
                </c:pt>
                <c:pt idx="174">
                  <c:v>-5.8903858387466682E-3</c:v>
                </c:pt>
                <c:pt idx="175">
                  <c:v>1.3157319559613571E-3</c:v>
                </c:pt>
                <c:pt idx="176">
                  <c:v>-5.4271841894800704E-3</c:v>
                </c:pt>
                <c:pt idx="177">
                  <c:v>-2.124799233136215E-2</c:v>
                </c:pt>
                <c:pt idx="178">
                  <c:v>3.4075439347630979E-2</c:v>
                </c:pt>
                <c:pt idx="179">
                  <c:v>7.0765151117618884E-4</c:v>
                </c:pt>
                <c:pt idx="180">
                  <c:v>-4.238416940988054E-3</c:v>
                </c:pt>
                <c:pt idx="181">
                  <c:v>-1.3478236594871369E-2</c:v>
                </c:pt>
                <c:pt idx="182">
                  <c:v>-8.0523401455357274E-3</c:v>
                </c:pt>
                <c:pt idx="183">
                  <c:v>2.7008590085919607E-2</c:v>
                </c:pt>
                <c:pt idx="184">
                  <c:v>-3.2684071826475043E-2</c:v>
                </c:pt>
                <c:pt idx="185">
                  <c:v>-1.4556545602457449E-2</c:v>
                </c:pt>
                <c:pt idx="186">
                  <c:v>-1.2763629483925881E-2</c:v>
                </c:pt>
                <c:pt idx="187">
                  <c:v>3.2593735762334081E-3</c:v>
                </c:pt>
                <c:pt idx="188">
                  <c:v>1.7394679910163743E-2</c:v>
                </c:pt>
                <c:pt idx="189">
                  <c:v>-4.8434474597549605E-3</c:v>
                </c:pt>
                <c:pt idx="190">
                  <c:v>4.3325047593777968E-3</c:v>
                </c:pt>
                <c:pt idx="191">
                  <c:v>3.8179198847228639E-2</c:v>
                </c:pt>
                <c:pt idx="192">
                  <c:v>1.9477651133491844E-3</c:v>
                </c:pt>
                <c:pt idx="193">
                  <c:v>7.9185430890317092E-3</c:v>
                </c:pt>
                <c:pt idx="194">
                  <c:v>-2.8877787981159277E-2</c:v>
                </c:pt>
                <c:pt idx="195">
                  <c:v>3.7386471404570968E-3</c:v>
                </c:pt>
                <c:pt idx="196">
                  <c:v>-2.3502136259296775E-2</c:v>
                </c:pt>
                <c:pt idx="197">
                  <c:v>-1.0074159274307538E-2</c:v>
                </c:pt>
                <c:pt idx="198">
                  <c:v>-6.2138078850895182E-3</c:v>
                </c:pt>
                <c:pt idx="199">
                  <c:v>-1.7261839403049345E-2</c:v>
                </c:pt>
                <c:pt idx="200">
                  <c:v>-1.25911237466319E-2</c:v>
                </c:pt>
                <c:pt idx="201">
                  <c:v>1.7705380542583818E-2</c:v>
                </c:pt>
                <c:pt idx="202">
                  <c:v>-4.0440776446266048E-3</c:v>
                </c:pt>
                <c:pt idx="203">
                  <c:v>-3.5354610310225584E-3</c:v>
                </c:pt>
                <c:pt idx="204">
                  <c:v>-7.8728647037667382E-2</c:v>
                </c:pt>
                <c:pt idx="205">
                  <c:v>1.8065402507209539E-2</c:v>
                </c:pt>
                <c:pt idx="206">
                  <c:v>-6.8511872621465353E-3</c:v>
                </c:pt>
                <c:pt idx="207">
                  <c:v>5.6008327456711221E-2</c:v>
                </c:pt>
                <c:pt idx="208">
                  <c:v>-3.6444664756427173E-3</c:v>
                </c:pt>
                <c:pt idx="209">
                  <c:v>2.0582235881599267E-2</c:v>
                </c:pt>
                <c:pt idx="210">
                  <c:v>-3.5347389372542684E-2</c:v>
                </c:pt>
                <c:pt idx="211">
                  <c:v>8.559709876499547E-3</c:v>
                </c:pt>
                <c:pt idx="212">
                  <c:v>6.4479952589206069E-3</c:v>
                </c:pt>
                <c:pt idx="213">
                  <c:v>4.2450634662556733E-2</c:v>
                </c:pt>
                <c:pt idx="214">
                  <c:v>9.2385282252035791E-3</c:v>
                </c:pt>
                <c:pt idx="215">
                  <c:v>4.6086963881826542E-3</c:v>
                </c:pt>
                <c:pt idx="216">
                  <c:v>4.2863331806852652E-3</c:v>
                </c:pt>
                <c:pt idx="217">
                  <c:v>-1.6022159686938937E-2</c:v>
                </c:pt>
                <c:pt idx="218">
                  <c:v>8.2346914666474678E-3</c:v>
                </c:pt>
                <c:pt idx="219">
                  <c:v>2.7315424581188723E-3</c:v>
                </c:pt>
                <c:pt idx="220">
                  <c:v>2.6328705367816705E-2</c:v>
                </c:pt>
                <c:pt idx="221">
                  <c:v>5.0669946527728521E-2</c:v>
                </c:pt>
                <c:pt idx="222">
                  <c:v>1.1700384198729468E-2</c:v>
                </c:pt>
                <c:pt idx="223">
                  <c:v>1.9619569141081445E-2</c:v>
                </c:pt>
                <c:pt idx="224">
                  <c:v>-5.0430853626891856E-2</c:v>
                </c:pt>
                <c:pt idx="225">
                  <c:v>-1.5012192577705918E-2</c:v>
                </c:pt>
                <c:pt idx="226">
                  <c:v>5.6340005912371052E-2</c:v>
                </c:pt>
                <c:pt idx="227">
                  <c:v>3.3498021431471701E-2</c:v>
                </c:pt>
                <c:pt idx="228">
                  <c:v>-5.7423876711347145E-3</c:v>
                </c:pt>
                <c:pt idx="229">
                  <c:v>5.3011015966503872E-2</c:v>
                </c:pt>
                <c:pt idx="230">
                  <c:v>-6.4397803091528857E-2</c:v>
                </c:pt>
                <c:pt idx="231">
                  <c:v>-9.4943754799570554E-2</c:v>
                </c:pt>
                <c:pt idx="232">
                  <c:v>-0.10415560155862262</c:v>
                </c:pt>
                <c:pt idx="233">
                  <c:v>-3.532047155337616E-3</c:v>
                </c:pt>
                <c:pt idx="234">
                  <c:v>-2.2161142479556216E-2</c:v>
                </c:pt>
                <c:pt idx="235">
                  <c:v>3.5314024109270852E-3</c:v>
                </c:pt>
                <c:pt idx="236">
                  <c:v>-1.5369249163833293E-3</c:v>
                </c:pt>
                <c:pt idx="237">
                  <c:v>-2.3900079224548395E-2</c:v>
                </c:pt>
                <c:pt idx="238">
                  <c:v>2.5360101768455715E-2</c:v>
                </c:pt>
                <c:pt idx="239">
                  <c:v>-3.8375977713667447E-3</c:v>
                </c:pt>
                <c:pt idx="240">
                  <c:v>-1.293876030569751E-2</c:v>
                </c:pt>
                <c:pt idx="241">
                  <c:v>-4.9032648306474875E-3</c:v>
                </c:pt>
                <c:pt idx="242">
                  <c:v>-1.3008556647727121E-2</c:v>
                </c:pt>
                <c:pt idx="243">
                  <c:v>-4.4952204099843705E-2</c:v>
                </c:pt>
                <c:pt idx="244">
                  <c:v>3.2006855447525556E-3</c:v>
                </c:pt>
                <c:pt idx="245">
                  <c:v>-3.3279192820591899E-2</c:v>
                </c:pt>
                <c:pt idx="246">
                  <c:v>4.4887233740282514E-2</c:v>
                </c:pt>
                <c:pt idx="247">
                  <c:v>1.9651287397288494E-2</c:v>
                </c:pt>
                <c:pt idx="248">
                  <c:v>8.7852619228194033E-3</c:v>
                </c:pt>
                <c:pt idx="249">
                  <c:v>-1.3624690637464989E-2</c:v>
                </c:pt>
                <c:pt idx="250">
                  <c:v>4.7715473039666577E-2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EA-43D8-9FE7-8547DB747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056984"/>
        <c:axId val="613058784"/>
      </c:scatterChart>
      <c:valAx>
        <c:axId val="61305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3058784"/>
        <c:crosses val="autoZero"/>
        <c:crossBetween val="midCat"/>
      </c:valAx>
      <c:valAx>
        <c:axId val="6130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3056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27</xdr:row>
      <xdr:rowOff>171450</xdr:rowOff>
    </xdr:from>
    <xdr:to>
      <xdr:col>16</xdr:col>
      <xdr:colOff>830580</xdr:colOff>
      <xdr:row>41</xdr:row>
      <xdr:rowOff>140970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3B2B8AB-E044-CB1F-E1EC-1AE87A57F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quote/MBUU/histor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quote/BABA/history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personal-finance/mortgages/" TargetMode="External"/><Relationship Id="rId2" Type="http://schemas.openxmlformats.org/officeDocument/2006/relationships/hyperlink" Target="https://finance.yahoo.com/quote/%5EDJI/" TargetMode="External"/><Relationship Id="rId1" Type="http://schemas.openxmlformats.org/officeDocument/2006/relationships/hyperlink" Target="https://finance.yahoo.com/quote/ES%3DF/history/" TargetMode="External"/><Relationship Id="rId4" Type="http://schemas.openxmlformats.org/officeDocument/2006/relationships/hyperlink" Target="https://help.yahoo.com/kb/finance-for-web/SLN2310.html?locale=en_U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I1000"/>
  <sheetViews>
    <sheetView workbookViewId="0"/>
  </sheetViews>
  <sheetFormatPr defaultColWidth="12.6640625" defaultRowHeight="15.75" customHeight="1"/>
  <sheetData>
    <row r="1" spans="1:9" ht="13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spans="1:9" ht="22.8">
      <c r="A2" s="5" t="s">
        <v>7</v>
      </c>
      <c r="B2" s="6" t="s">
        <v>8</v>
      </c>
      <c r="C2" s="6" t="s">
        <v>9</v>
      </c>
      <c r="D2" s="6" t="s">
        <v>8</v>
      </c>
      <c r="E2" s="6" t="s">
        <v>10</v>
      </c>
      <c r="F2" s="7" t="s">
        <v>10</v>
      </c>
      <c r="G2" s="6">
        <v>129.72999999999999</v>
      </c>
      <c r="I2" s="8" t="s">
        <v>11</v>
      </c>
    </row>
    <row r="3" spans="1:9" ht="13.8">
      <c r="A3" s="9" t="s">
        <v>12</v>
      </c>
      <c r="B3" s="6" t="s">
        <v>13</v>
      </c>
      <c r="C3" s="6" t="s">
        <v>14</v>
      </c>
      <c r="D3" s="6">
        <v>46166</v>
      </c>
      <c r="E3" s="6" t="s">
        <v>15</v>
      </c>
      <c r="F3" s="7" t="s">
        <v>15</v>
      </c>
      <c r="G3" s="6">
        <v>415</v>
      </c>
    </row>
    <row r="4" spans="1:9" ht="13.8">
      <c r="A4" s="9" t="s">
        <v>16</v>
      </c>
      <c r="B4" s="6" t="s">
        <v>17</v>
      </c>
      <c r="C4" s="6" t="s">
        <v>17</v>
      </c>
      <c r="D4" s="6" t="s">
        <v>18</v>
      </c>
      <c r="E4" s="6" t="s">
        <v>19</v>
      </c>
      <c r="F4" s="7" t="s">
        <v>19</v>
      </c>
      <c r="G4" s="6">
        <v>411</v>
      </c>
    </row>
    <row r="5" spans="1:9" ht="13.8">
      <c r="A5" s="9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7" t="s">
        <v>24</v>
      </c>
      <c r="G5" s="6">
        <v>324.60000000000002</v>
      </c>
    </row>
    <row r="6" spans="1:9" ht="13.8">
      <c r="A6" s="9" t="s">
        <v>25</v>
      </c>
      <c r="B6" s="6" t="s">
        <v>26</v>
      </c>
      <c r="C6" s="6" t="s">
        <v>27</v>
      </c>
      <c r="D6" s="6" t="s">
        <v>28</v>
      </c>
      <c r="E6" s="6" t="s">
        <v>29</v>
      </c>
      <c r="F6" s="7" t="s">
        <v>29</v>
      </c>
      <c r="G6" s="6">
        <v>359</v>
      </c>
    </row>
    <row r="7" spans="1:9" ht="13.8">
      <c r="A7" s="9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7" t="s">
        <v>34</v>
      </c>
      <c r="G7" s="6">
        <v>470.1</v>
      </c>
    </row>
    <row r="8" spans="1:9" ht="13.8">
      <c r="A8" s="9" t="s">
        <v>35</v>
      </c>
      <c r="B8" s="6" t="s">
        <v>36</v>
      </c>
      <c r="C8" s="6" t="s">
        <v>36</v>
      </c>
      <c r="D8" s="6" t="s">
        <v>18</v>
      </c>
      <c r="E8" s="6" t="s">
        <v>26</v>
      </c>
      <c r="F8" s="7" t="s">
        <v>26</v>
      </c>
      <c r="G8" s="6">
        <v>945.9</v>
      </c>
    </row>
    <row r="9" spans="1:9" ht="13.8">
      <c r="A9" s="9" t="s">
        <v>37</v>
      </c>
      <c r="B9" s="6" t="s">
        <v>38</v>
      </c>
      <c r="C9" s="6" t="s">
        <v>39</v>
      </c>
      <c r="D9" s="6" t="s">
        <v>40</v>
      </c>
      <c r="E9" s="6">
        <v>46202</v>
      </c>
      <c r="F9" s="7">
        <v>46202</v>
      </c>
      <c r="G9" s="6">
        <v>240.5</v>
      </c>
    </row>
    <row r="10" spans="1:9" ht="13.8">
      <c r="A10" s="9" t="s">
        <v>41</v>
      </c>
      <c r="B10" s="6" t="s">
        <v>42</v>
      </c>
      <c r="C10" s="6" t="s">
        <v>43</v>
      </c>
      <c r="D10" s="6" t="s">
        <v>44</v>
      </c>
      <c r="E10" s="6" t="s">
        <v>45</v>
      </c>
      <c r="F10" s="7" t="s">
        <v>45</v>
      </c>
      <c r="G10" s="6">
        <v>191.1</v>
      </c>
    </row>
    <row r="11" spans="1:9" ht="13.8">
      <c r="A11" s="9" t="s">
        <v>46</v>
      </c>
      <c r="B11" s="6" t="s">
        <v>47</v>
      </c>
      <c r="C11" s="6" t="s">
        <v>47</v>
      </c>
      <c r="D11" s="6" t="s">
        <v>48</v>
      </c>
      <c r="E11" s="6" t="s">
        <v>49</v>
      </c>
      <c r="F11" s="7" t="s">
        <v>49</v>
      </c>
      <c r="G11" s="6">
        <v>176.3</v>
      </c>
    </row>
    <row r="12" spans="1:9" ht="13.8">
      <c r="A12" s="9" t="s">
        <v>50</v>
      </c>
      <c r="B12" s="6" t="s">
        <v>51</v>
      </c>
      <c r="C12" s="6" t="s">
        <v>52</v>
      </c>
      <c r="D12" s="6">
        <v>46203</v>
      </c>
      <c r="E12" s="6" t="s">
        <v>53</v>
      </c>
      <c r="F12" s="7" t="s">
        <v>53</v>
      </c>
      <c r="G12" s="6">
        <v>185.5</v>
      </c>
    </row>
    <row r="13" spans="1:9" ht="13.8">
      <c r="A13" s="9" t="s">
        <v>54</v>
      </c>
      <c r="B13" s="6" t="s">
        <v>55</v>
      </c>
      <c r="C13" s="6" t="s">
        <v>56</v>
      </c>
      <c r="D13" s="6" t="s">
        <v>57</v>
      </c>
      <c r="E13" s="6" t="s">
        <v>58</v>
      </c>
      <c r="F13" s="7" t="s">
        <v>58</v>
      </c>
      <c r="G13" s="6">
        <v>225.5</v>
      </c>
    </row>
    <row r="14" spans="1:9" ht="13.8">
      <c r="A14" s="9" t="s">
        <v>59</v>
      </c>
      <c r="B14" s="6" t="s">
        <v>60</v>
      </c>
      <c r="C14" s="6" t="s">
        <v>61</v>
      </c>
      <c r="D14" s="6">
        <v>46112</v>
      </c>
      <c r="E14" s="6" t="s">
        <v>62</v>
      </c>
      <c r="F14" s="7" t="s">
        <v>62</v>
      </c>
      <c r="G14" s="6">
        <v>172</v>
      </c>
    </row>
    <row r="15" spans="1:9" ht="13.8">
      <c r="A15" s="9" t="s">
        <v>63</v>
      </c>
      <c r="B15" s="6" t="s">
        <v>64</v>
      </c>
      <c r="C15" s="6" t="s">
        <v>65</v>
      </c>
      <c r="D15" s="6" t="s">
        <v>66</v>
      </c>
      <c r="E15" s="6" t="s">
        <v>67</v>
      </c>
      <c r="F15" s="7" t="s">
        <v>67</v>
      </c>
      <c r="G15" s="6">
        <v>151.30000000000001</v>
      </c>
    </row>
    <row r="16" spans="1:9" ht="13.8">
      <c r="A16" s="9" t="s">
        <v>68</v>
      </c>
      <c r="B16" s="6" t="s">
        <v>69</v>
      </c>
      <c r="C16" s="6" t="s">
        <v>70</v>
      </c>
      <c r="D16" s="6" t="s">
        <v>71</v>
      </c>
      <c r="E16" s="6" t="s">
        <v>72</v>
      </c>
      <c r="F16" s="7" t="s">
        <v>72</v>
      </c>
      <c r="G16" s="6">
        <v>184</v>
      </c>
    </row>
    <row r="17" spans="1:7" ht="13.8">
      <c r="A17" s="9" t="s">
        <v>73</v>
      </c>
      <c r="B17" s="6" t="s">
        <v>74</v>
      </c>
      <c r="C17" s="6" t="s">
        <v>75</v>
      </c>
      <c r="D17" s="6" t="s">
        <v>76</v>
      </c>
      <c r="E17" s="6" t="s">
        <v>77</v>
      </c>
      <c r="F17" s="7" t="s">
        <v>77</v>
      </c>
      <c r="G17" s="6">
        <v>152.69999999999999</v>
      </c>
    </row>
    <row r="18" spans="1:7" ht="13.8">
      <c r="A18" s="9" t="s">
        <v>78</v>
      </c>
      <c r="B18" s="6" t="s">
        <v>79</v>
      </c>
      <c r="C18" s="6" t="s">
        <v>72</v>
      </c>
      <c r="D18" s="6" t="s">
        <v>80</v>
      </c>
      <c r="E18" s="6" t="s">
        <v>77</v>
      </c>
      <c r="F18" s="7" t="s">
        <v>77</v>
      </c>
      <c r="G18" s="6">
        <v>166.7</v>
      </c>
    </row>
    <row r="19" spans="1:7" ht="13.8">
      <c r="A19" s="9" t="s">
        <v>81</v>
      </c>
      <c r="B19" s="6" t="s">
        <v>82</v>
      </c>
      <c r="C19" s="6" t="s">
        <v>83</v>
      </c>
      <c r="D19" s="6" t="s">
        <v>84</v>
      </c>
      <c r="E19" s="6" t="s">
        <v>85</v>
      </c>
      <c r="F19" s="7" t="s">
        <v>85</v>
      </c>
      <c r="G19" s="6">
        <v>353.7</v>
      </c>
    </row>
    <row r="20" spans="1:7" ht="13.8">
      <c r="A20" s="9" t="s">
        <v>86</v>
      </c>
      <c r="B20" s="6" t="s">
        <v>87</v>
      </c>
      <c r="C20" s="6" t="s">
        <v>88</v>
      </c>
      <c r="D20" s="6" t="s">
        <v>89</v>
      </c>
      <c r="E20" s="6" t="s">
        <v>67</v>
      </c>
      <c r="F20" s="7" t="s">
        <v>67</v>
      </c>
      <c r="G20" s="6">
        <v>133.19999999999999</v>
      </c>
    </row>
    <row r="21" spans="1:7" ht="13.8">
      <c r="A21" s="9" t="s">
        <v>90</v>
      </c>
      <c r="B21" s="6" t="s">
        <v>91</v>
      </c>
      <c r="C21" s="6" t="s">
        <v>92</v>
      </c>
      <c r="D21" s="6" t="s">
        <v>93</v>
      </c>
      <c r="E21" s="6">
        <v>46265</v>
      </c>
      <c r="F21" s="7">
        <v>46265</v>
      </c>
      <c r="G21" s="6">
        <v>185.6</v>
      </c>
    </row>
    <row r="22" spans="1:7" ht="13.8">
      <c r="A22" s="9" t="s">
        <v>94</v>
      </c>
      <c r="B22" s="6" t="s">
        <v>95</v>
      </c>
      <c r="C22" s="6" t="s">
        <v>96</v>
      </c>
      <c r="D22" s="6" t="s">
        <v>97</v>
      </c>
      <c r="E22" s="6" t="s">
        <v>74</v>
      </c>
      <c r="F22" s="7" t="s">
        <v>74</v>
      </c>
      <c r="G22" s="6">
        <v>126.4</v>
      </c>
    </row>
    <row r="23" spans="1:7" ht="13.8">
      <c r="A23" s="9" t="s">
        <v>98</v>
      </c>
      <c r="B23" s="6" t="s">
        <v>99</v>
      </c>
      <c r="C23" s="6" t="s">
        <v>56</v>
      </c>
      <c r="D23" s="6" t="s">
        <v>100</v>
      </c>
      <c r="E23" s="6" t="s">
        <v>101</v>
      </c>
      <c r="F23" s="7" t="s">
        <v>101</v>
      </c>
      <c r="G23" s="6">
        <v>268.60000000000002</v>
      </c>
    </row>
    <row r="24" spans="1:7" ht="13.8">
      <c r="A24" s="9" t="s">
        <v>102</v>
      </c>
      <c r="B24" s="6" t="s">
        <v>87</v>
      </c>
      <c r="C24" s="6" t="s">
        <v>103</v>
      </c>
      <c r="D24" s="6" t="s">
        <v>104</v>
      </c>
      <c r="E24" s="6" t="s">
        <v>105</v>
      </c>
      <c r="F24" s="7" t="s">
        <v>105</v>
      </c>
      <c r="G24" s="6">
        <v>648.20000000000005</v>
      </c>
    </row>
    <row r="25" spans="1:7" ht="13.8">
      <c r="A25" s="9" t="s">
        <v>106</v>
      </c>
      <c r="B25" s="6" t="s">
        <v>107</v>
      </c>
      <c r="C25" s="6" t="s">
        <v>108</v>
      </c>
      <c r="D25" s="6" t="s">
        <v>109</v>
      </c>
      <c r="E25" s="6" t="s">
        <v>110</v>
      </c>
      <c r="F25" s="7" t="s">
        <v>110</v>
      </c>
      <c r="G25" s="6">
        <v>386.7</v>
      </c>
    </row>
    <row r="26" spans="1:7" ht="13.8">
      <c r="A26" s="9" t="s">
        <v>111</v>
      </c>
      <c r="B26" s="6" t="s">
        <v>112</v>
      </c>
      <c r="C26" s="6" t="s">
        <v>107</v>
      </c>
      <c r="D26" s="6" t="s">
        <v>113</v>
      </c>
      <c r="E26" s="6" t="s">
        <v>114</v>
      </c>
      <c r="F26" s="7" t="s">
        <v>114</v>
      </c>
      <c r="G26" s="6">
        <v>242.4</v>
      </c>
    </row>
    <row r="27" spans="1:7" ht="13.8">
      <c r="A27" s="9" t="s">
        <v>115</v>
      </c>
      <c r="B27" s="6" t="s">
        <v>116</v>
      </c>
      <c r="C27" s="6" t="s">
        <v>117</v>
      </c>
      <c r="D27" s="6" t="s">
        <v>70</v>
      </c>
      <c r="E27" s="6" t="s">
        <v>118</v>
      </c>
      <c r="F27" s="7" t="s">
        <v>118</v>
      </c>
      <c r="G27" s="6">
        <v>214.8</v>
      </c>
    </row>
    <row r="28" spans="1:7" ht="13.8">
      <c r="A28" s="9" t="s">
        <v>119</v>
      </c>
      <c r="B28" s="6" t="s">
        <v>120</v>
      </c>
      <c r="C28" s="6" t="s">
        <v>121</v>
      </c>
      <c r="D28" s="6" t="s">
        <v>120</v>
      </c>
      <c r="E28" s="6" t="s">
        <v>122</v>
      </c>
      <c r="F28" s="7" t="s">
        <v>122</v>
      </c>
      <c r="G28" s="6">
        <v>258.7</v>
      </c>
    </row>
    <row r="29" spans="1:7" ht="13.8">
      <c r="A29" s="9" t="s">
        <v>123</v>
      </c>
      <c r="B29" s="6" t="s">
        <v>56</v>
      </c>
      <c r="C29" s="6" t="s">
        <v>124</v>
      </c>
      <c r="D29" s="6" t="s">
        <v>88</v>
      </c>
      <c r="E29" s="6" t="s">
        <v>125</v>
      </c>
      <c r="F29" s="7" t="s">
        <v>125</v>
      </c>
      <c r="G29" s="6">
        <v>148.5</v>
      </c>
    </row>
    <row r="30" spans="1:7" ht="13.8">
      <c r="A30" s="9" t="s">
        <v>126</v>
      </c>
      <c r="B30" s="6" t="s">
        <v>127</v>
      </c>
      <c r="C30" s="6" t="s">
        <v>128</v>
      </c>
      <c r="D30" s="6" t="s">
        <v>129</v>
      </c>
      <c r="E30" s="6" t="s">
        <v>130</v>
      </c>
      <c r="F30" s="7" t="s">
        <v>130</v>
      </c>
      <c r="G30" s="6">
        <v>168.9</v>
      </c>
    </row>
    <row r="31" spans="1:7" ht="13.8">
      <c r="A31" s="9" t="s">
        <v>131</v>
      </c>
      <c r="B31" s="6" t="s">
        <v>132</v>
      </c>
      <c r="C31" s="6" t="s">
        <v>133</v>
      </c>
      <c r="D31" s="6" t="s">
        <v>134</v>
      </c>
      <c r="E31" s="6" t="s">
        <v>116</v>
      </c>
      <c r="F31" s="7" t="s">
        <v>116</v>
      </c>
      <c r="G31" s="6">
        <v>110.4</v>
      </c>
    </row>
    <row r="32" spans="1:7" ht="13.8">
      <c r="A32" s="9" t="s">
        <v>135</v>
      </c>
      <c r="B32" s="6" t="s">
        <v>112</v>
      </c>
      <c r="C32" s="6" t="s">
        <v>136</v>
      </c>
      <c r="D32" s="6" t="s">
        <v>137</v>
      </c>
      <c r="E32" s="6" t="s">
        <v>138</v>
      </c>
      <c r="F32" s="7" t="s">
        <v>138</v>
      </c>
      <c r="G32" s="6">
        <v>108.1</v>
      </c>
    </row>
    <row r="33" spans="1:7" ht="13.8">
      <c r="A33" s="9" t="s">
        <v>139</v>
      </c>
      <c r="B33" s="6" t="s">
        <v>140</v>
      </c>
      <c r="C33" s="6" t="s">
        <v>141</v>
      </c>
      <c r="D33" s="6" t="s">
        <v>142</v>
      </c>
      <c r="E33" s="6" t="s">
        <v>143</v>
      </c>
      <c r="F33" s="7" t="s">
        <v>143</v>
      </c>
      <c r="G33" s="6">
        <v>160.69999999999999</v>
      </c>
    </row>
    <row r="34" spans="1:7" ht="13.8">
      <c r="A34" s="9" t="s">
        <v>144</v>
      </c>
      <c r="B34" s="6" t="s">
        <v>145</v>
      </c>
      <c r="C34" s="6" t="s">
        <v>146</v>
      </c>
      <c r="D34" s="6" t="s">
        <v>147</v>
      </c>
      <c r="E34" s="6" t="s">
        <v>148</v>
      </c>
      <c r="F34" s="7" t="s">
        <v>148</v>
      </c>
      <c r="G34" s="6">
        <v>162.6</v>
      </c>
    </row>
    <row r="35" spans="1:7" ht="13.8">
      <c r="A35" s="9" t="s">
        <v>149</v>
      </c>
      <c r="B35" s="6" t="s">
        <v>150</v>
      </c>
      <c r="C35" s="6" t="s">
        <v>151</v>
      </c>
      <c r="D35" s="6" t="s">
        <v>152</v>
      </c>
      <c r="E35" s="6" t="s">
        <v>153</v>
      </c>
      <c r="F35" s="7" t="s">
        <v>153</v>
      </c>
      <c r="G35" s="6">
        <v>115</v>
      </c>
    </row>
    <row r="36" spans="1:7" ht="13.8">
      <c r="A36" s="9" t="s">
        <v>154</v>
      </c>
      <c r="B36" s="6" t="s">
        <v>155</v>
      </c>
      <c r="C36" s="6" t="s">
        <v>156</v>
      </c>
      <c r="D36" s="6" t="s">
        <v>157</v>
      </c>
      <c r="E36" s="6" t="s">
        <v>158</v>
      </c>
      <c r="F36" s="7" t="s">
        <v>158</v>
      </c>
      <c r="G36" s="6">
        <v>192.3</v>
      </c>
    </row>
    <row r="37" spans="1:7" ht="13.8">
      <c r="A37" s="9" t="s">
        <v>159</v>
      </c>
      <c r="B37" s="6" t="s">
        <v>160</v>
      </c>
      <c r="C37" s="6" t="s">
        <v>161</v>
      </c>
      <c r="D37" s="6" t="s">
        <v>162</v>
      </c>
      <c r="E37" s="6" t="s">
        <v>163</v>
      </c>
      <c r="F37" s="7" t="s">
        <v>163</v>
      </c>
      <c r="G37" s="6">
        <v>156.30000000000001</v>
      </c>
    </row>
    <row r="38" spans="1:7" ht="13.8">
      <c r="A38" s="9" t="s">
        <v>164</v>
      </c>
      <c r="B38" s="6" t="s">
        <v>165</v>
      </c>
      <c r="C38" s="6" t="s">
        <v>166</v>
      </c>
      <c r="D38" s="6" t="s">
        <v>167</v>
      </c>
      <c r="E38" s="6" t="s">
        <v>148</v>
      </c>
      <c r="F38" s="7" t="s">
        <v>148</v>
      </c>
      <c r="G38" s="6">
        <v>128.5</v>
      </c>
    </row>
    <row r="39" spans="1:7" ht="13.8">
      <c r="A39" s="9" t="s">
        <v>168</v>
      </c>
      <c r="B39" s="6" t="s">
        <v>169</v>
      </c>
      <c r="C39" s="6" t="s">
        <v>170</v>
      </c>
      <c r="D39" s="6" t="s">
        <v>122</v>
      </c>
      <c r="E39" s="6" t="s">
        <v>171</v>
      </c>
      <c r="F39" s="7" t="s">
        <v>171</v>
      </c>
      <c r="G39" s="6">
        <v>236.9</v>
      </c>
    </row>
    <row r="40" spans="1:7" ht="13.8">
      <c r="A40" s="9" t="s">
        <v>172</v>
      </c>
      <c r="B40" s="6" t="s">
        <v>173</v>
      </c>
      <c r="C40" s="6" t="s">
        <v>174</v>
      </c>
      <c r="D40" s="6" t="s">
        <v>175</v>
      </c>
      <c r="E40" s="6" t="s">
        <v>176</v>
      </c>
      <c r="F40" s="7" t="s">
        <v>176</v>
      </c>
      <c r="G40" s="6">
        <v>163.80000000000001</v>
      </c>
    </row>
    <row r="41" spans="1:7" ht="13.8">
      <c r="A41" s="9" t="s">
        <v>177</v>
      </c>
      <c r="B41" s="6" t="s">
        <v>178</v>
      </c>
      <c r="C41" s="6" t="s">
        <v>179</v>
      </c>
      <c r="D41" s="6" t="s">
        <v>180</v>
      </c>
      <c r="E41" s="6" t="s">
        <v>155</v>
      </c>
      <c r="F41" s="7" t="s">
        <v>155</v>
      </c>
      <c r="G41" s="6">
        <v>155</v>
      </c>
    </row>
    <row r="42" spans="1:7" ht="13.8">
      <c r="A42" s="9" t="s">
        <v>181</v>
      </c>
      <c r="B42" s="6" t="s">
        <v>182</v>
      </c>
      <c r="C42" s="6" t="s">
        <v>183</v>
      </c>
      <c r="D42" s="6" t="s">
        <v>184</v>
      </c>
      <c r="E42" s="6" t="s">
        <v>185</v>
      </c>
      <c r="F42" s="7" t="s">
        <v>185</v>
      </c>
      <c r="G42" s="6">
        <v>209.5</v>
      </c>
    </row>
    <row r="43" spans="1:7" ht="13.8">
      <c r="A43" s="9" t="s">
        <v>186</v>
      </c>
      <c r="B43" s="6" t="s">
        <v>187</v>
      </c>
      <c r="C43" s="6" t="s">
        <v>118</v>
      </c>
      <c r="D43" s="6" t="s">
        <v>188</v>
      </c>
      <c r="E43" s="6" t="s">
        <v>178</v>
      </c>
      <c r="F43" s="7" t="s">
        <v>178</v>
      </c>
      <c r="G43" s="6">
        <v>173.9</v>
      </c>
    </row>
    <row r="44" spans="1:7" ht="13.8">
      <c r="A44" s="9" t="s">
        <v>189</v>
      </c>
      <c r="B44" s="6" t="s">
        <v>190</v>
      </c>
      <c r="C44" s="6" t="s">
        <v>191</v>
      </c>
      <c r="D44" s="6" t="s">
        <v>192</v>
      </c>
      <c r="E44" s="6">
        <v>46173</v>
      </c>
      <c r="F44" s="7">
        <v>46173</v>
      </c>
      <c r="G44" s="6">
        <v>238.7</v>
      </c>
    </row>
    <row r="45" spans="1:7" ht="13.8">
      <c r="A45" s="9" t="s">
        <v>193</v>
      </c>
      <c r="B45" s="6" t="s">
        <v>194</v>
      </c>
      <c r="C45" s="6" t="s">
        <v>195</v>
      </c>
      <c r="D45" s="6" t="s">
        <v>36</v>
      </c>
      <c r="E45" s="6" t="s">
        <v>105</v>
      </c>
      <c r="F45" s="7" t="s">
        <v>105</v>
      </c>
      <c r="G45" s="6">
        <v>150.30000000000001</v>
      </c>
    </row>
    <row r="46" spans="1:7" ht="13.8">
      <c r="A46" s="9" t="s">
        <v>196</v>
      </c>
      <c r="B46" s="6" t="s">
        <v>197</v>
      </c>
      <c r="C46" s="6">
        <v>46172</v>
      </c>
      <c r="D46" s="6" t="s">
        <v>197</v>
      </c>
      <c r="E46" s="6" t="s">
        <v>198</v>
      </c>
      <c r="F46" s="7" t="s">
        <v>198</v>
      </c>
      <c r="G46" s="6">
        <v>172.9</v>
      </c>
    </row>
    <row r="47" spans="1:7" ht="13.8">
      <c r="A47" s="9" t="s">
        <v>199</v>
      </c>
      <c r="B47" s="6" t="s">
        <v>200</v>
      </c>
      <c r="C47" s="6" t="s">
        <v>201</v>
      </c>
      <c r="D47" s="6">
        <v>46050</v>
      </c>
      <c r="E47" s="6" t="s">
        <v>202</v>
      </c>
      <c r="F47" s="7" t="s">
        <v>202</v>
      </c>
      <c r="G47" s="6">
        <v>269</v>
      </c>
    </row>
    <row r="48" spans="1:7" ht="13.8">
      <c r="A48" s="9" t="s">
        <v>203</v>
      </c>
      <c r="B48" s="6" t="s">
        <v>204</v>
      </c>
      <c r="C48" s="6" t="s">
        <v>205</v>
      </c>
      <c r="D48" s="6" t="s">
        <v>206</v>
      </c>
      <c r="E48" s="6" t="s">
        <v>207</v>
      </c>
      <c r="F48" s="7" t="s">
        <v>207</v>
      </c>
      <c r="G48" s="6">
        <v>129.6</v>
      </c>
    </row>
    <row r="49" spans="1:7" ht="13.8">
      <c r="A49" s="9" t="s">
        <v>208</v>
      </c>
      <c r="B49" s="6" t="s">
        <v>209</v>
      </c>
      <c r="C49" s="6">
        <v>46171</v>
      </c>
      <c r="D49" s="6" t="s">
        <v>205</v>
      </c>
      <c r="E49" s="6" t="s">
        <v>210</v>
      </c>
      <c r="F49" s="7" t="s">
        <v>210</v>
      </c>
      <c r="G49" s="6">
        <v>158.1</v>
      </c>
    </row>
    <row r="50" spans="1:7" ht="13.8">
      <c r="A50" s="9" t="s">
        <v>211</v>
      </c>
      <c r="B50" s="6" t="s">
        <v>44</v>
      </c>
      <c r="C50" s="6" t="s">
        <v>212</v>
      </c>
      <c r="D50" s="6" t="s">
        <v>213</v>
      </c>
      <c r="E50" s="6" t="s">
        <v>214</v>
      </c>
      <c r="F50" s="7" t="s">
        <v>214</v>
      </c>
      <c r="G50" s="6">
        <v>98.2</v>
      </c>
    </row>
    <row r="51" spans="1:7" ht="13.8">
      <c r="A51" s="9" t="s">
        <v>215</v>
      </c>
      <c r="B51" s="6" t="s">
        <v>214</v>
      </c>
      <c r="C51" s="6" t="s">
        <v>216</v>
      </c>
      <c r="D51" s="6" t="s">
        <v>214</v>
      </c>
      <c r="E51" s="6" t="s">
        <v>194</v>
      </c>
      <c r="F51" s="7" t="s">
        <v>194</v>
      </c>
      <c r="G51" s="6">
        <v>132.5</v>
      </c>
    </row>
    <row r="52" spans="1:7" ht="13.8">
      <c r="A52" s="9" t="s">
        <v>217</v>
      </c>
      <c r="B52" s="6" t="s">
        <v>218</v>
      </c>
      <c r="C52" s="6" t="s">
        <v>219</v>
      </c>
      <c r="D52" s="6" t="s">
        <v>220</v>
      </c>
      <c r="E52" s="6">
        <v>46263</v>
      </c>
      <c r="F52" s="7">
        <v>46263</v>
      </c>
      <c r="G52" s="6">
        <v>103</v>
      </c>
    </row>
    <row r="53" spans="1:7" ht="13.8">
      <c r="A53" s="9" t="s">
        <v>221</v>
      </c>
      <c r="B53" s="6" t="s">
        <v>222</v>
      </c>
      <c r="C53" s="6" t="s">
        <v>223</v>
      </c>
      <c r="D53" s="6">
        <v>46355</v>
      </c>
      <c r="E53" s="6" t="s">
        <v>224</v>
      </c>
      <c r="F53" s="7" t="s">
        <v>224</v>
      </c>
      <c r="G53" s="6">
        <v>223.9</v>
      </c>
    </row>
    <row r="54" spans="1:7" ht="13.8">
      <c r="A54" s="9" t="s">
        <v>225</v>
      </c>
      <c r="B54" s="6" t="s">
        <v>226</v>
      </c>
      <c r="C54" s="6" t="s">
        <v>227</v>
      </c>
      <c r="D54" s="6" t="s">
        <v>228</v>
      </c>
      <c r="E54" s="6" t="s">
        <v>229</v>
      </c>
      <c r="F54" s="7" t="s">
        <v>229</v>
      </c>
      <c r="G54" s="6">
        <v>172.5</v>
      </c>
    </row>
    <row r="55" spans="1:7" ht="13.8">
      <c r="A55" s="9" t="s">
        <v>230</v>
      </c>
      <c r="B55" s="6" t="s">
        <v>231</v>
      </c>
      <c r="C55" s="6" t="s">
        <v>232</v>
      </c>
      <c r="D55" s="6" t="s">
        <v>233</v>
      </c>
      <c r="E55" s="6" t="s">
        <v>234</v>
      </c>
      <c r="F55" s="7" t="s">
        <v>234</v>
      </c>
      <c r="G55" s="6">
        <v>362.7</v>
      </c>
    </row>
    <row r="56" spans="1:7" ht="13.8">
      <c r="A56" s="9" t="s">
        <v>235</v>
      </c>
      <c r="B56" s="6" t="s">
        <v>233</v>
      </c>
      <c r="C56" s="6" t="s">
        <v>236</v>
      </c>
      <c r="D56" s="6">
        <v>46110</v>
      </c>
      <c r="E56" s="6" t="s">
        <v>48</v>
      </c>
      <c r="F56" s="7" t="s">
        <v>48</v>
      </c>
      <c r="G56" s="6">
        <v>145.9</v>
      </c>
    </row>
    <row r="57" spans="1:7" ht="13.8">
      <c r="A57" s="9" t="s">
        <v>237</v>
      </c>
      <c r="B57" s="6" t="s">
        <v>238</v>
      </c>
      <c r="C57" s="6" t="s">
        <v>239</v>
      </c>
      <c r="D57" s="6" t="s">
        <v>240</v>
      </c>
      <c r="E57" s="6" t="s">
        <v>241</v>
      </c>
      <c r="F57" s="7" t="s">
        <v>241</v>
      </c>
      <c r="G57" s="6">
        <v>256.10000000000002</v>
      </c>
    </row>
    <row r="58" spans="1:7" ht="13.8">
      <c r="A58" s="9" t="s">
        <v>242</v>
      </c>
      <c r="B58" s="6" t="s">
        <v>212</v>
      </c>
      <c r="C58" s="6" t="s">
        <v>243</v>
      </c>
      <c r="D58" s="6" t="s">
        <v>244</v>
      </c>
      <c r="E58" s="6" t="s">
        <v>245</v>
      </c>
      <c r="F58" s="7" t="s">
        <v>245</v>
      </c>
      <c r="G58" s="6">
        <v>158.30000000000001</v>
      </c>
    </row>
    <row r="59" spans="1:7" ht="13.8">
      <c r="A59" s="9" t="s">
        <v>246</v>
      </c>
      <c r="B59" s="6" t="s">
        <v>247</v>
      </c>
      <c r="C59" s="6" t="s">
        <v>248</v>
      </c>
      <c r="D59" s="6" t="s">
        <v>241</v>
      </c>
      <c r="E59" s="6" t="s">
        <v>249</v>
      </c>
      <c r="F59" s="7" t="s">
        <v>249</v>
      </c>
      <c r="G59" s="6">
        <v>143.30000000000001</v>
      </c>
    </row>
    <row r="60" spans="1:7" ht="13.8">
      <c r="A60" s="9" t="s">
        <v>250</v>
      </c>
      <c r="B60" s="6">
        <v>46233</v>
      </c>
      <c r="C60" s="6">
        <v>46386</v>
      </c>
      <c r="D60" s="6" t="s">
        <v>251</v>
      </c>
      <c r="E60" s="6" t="s">
        <v>251</v>
      </c>
      <c r="F60" s="7" t="s">
        <v>251</v>
      </c>
      <c r="G60" s="6">
        <v>119.5</v>
      </c>
    </row>
    <row r="61" spans="1:7" ht="13.8">
      <c r="A61" s="9" t="s">
        <v>252</v>
      </c>
      <c r="B61" s="6" t="s">
        <v>84</v>
      </c>
      <c r="C61" s="6" t="s">
        <v>253</v>
      </c>
      <c r="D61" s="6" t="s">
        <v>38</v>
      </c>
      <c r="E61" s="6" t="s">
        <v>254</v>
      </c>
      <c r="F61" s="7" t="s">
        <v>254</v>
      </c>
      <c r="G61" s="6">
        <v>241</v>
      </c>
    </row>
    <row r="62" spans="1:7" ht="13.8">
      <c r="A62" s="9" t="s">
        <v>255</v>
      </c>
      <c r="B62" s="6" t="s">
        <v>256</v>
      </c>
      <c r="C62" s="6" t="s">
        <v>257</v>
      </c>
      <c r="D62" s="6" t="s">
        <v>201</v>
      </c>
      <c r="E62" s="6" t="s">
        <v>258</v>
      </c>
      <c r="F62" s="7" t="s">
        <v>258</v>
      </c>
      <c r="G62" s="6">
        <v>208.2</v>
      </c>
    </row>
    <row r="63" spans="1:7" ht="13.8">
      <c r="A63" s="9" t="s">
        <v>259</v>
      </c>
      <c r="B63" s="6" t="s">
        <v>260</v>
      </c>
      <c r="C63" s="6" t="s">
        <v>261</v>
      </c>
      <c r="D63" s="6" t="s">
        <v>262</v>
      </c>
      <c r="E63" s="6" t="s">
        <v>263</v>
      </c>
      <c r="F63" s="7" t="s">
        <v>263</v>
      </c>
      <c r="G63" s="6">
        <v>146.69999999999999</v>
      </c>
    </row>
    <row r="64" spans="1:7" ht="13.8">
      <c r="A64" s="9" t="s">
        <v>264</v>
      </c>
      <c r="B64" s="6" t="s">
        <v>265</v>
      </c>
      <c r="C64" s="6" t="s">
        <v>266</v>
      </c>
      <c r="D64" s="6" t="s">
        <v>267</v>
      </c>
      <c r="E64" s="6" t="s">
        <v>256</v>
      </c>
      <c r="F64" s="7" t="s">
        <v>256</v>
      </c>
      <c r="G64" s="6">
        <v>347.2</v>
      </c>
    </row>
    <row r="65" spans="1:7" ht="13.8">
      <c r="A65" s="9" t="s">
        <v>268</v>
      </c>
      <c r="B65" s="6" t="s">
        <v>269</v>
      </c>
      <c r="C65" s="6" t="s">
        <v>270</v>
      </c>
      <c r="D65" s="6" t="s">
        <v>271</v>
      </c>
      <c r="E65" s="6" t="s">
        <v>272</v>
      </c>
      <c r="F65" s="7" t="s">
        <v>272</v>
      </c>
      <c r="G65" s="6">
        <v>273.89999999999998</v>
      </c>
    </row>
    <row r="66" spans="1:7" ht="13.8">
      <c r="A66" s="9" t="s">
        <v>273</v>
      </c>
      <c r="B66" s="6" t="s">
        <v>274</v>
      </c>
      <c r="C66" s="6" t="s">
        <v>275</v>
      </c>
      <c r="D66" s="6">
        <v>46139</v>
      </c>
      <c r="E66" s="6" t="s">
        <v>276</v>
      </c>
      <c r="F66" s="7" t="s">
        <v>276</v>
      </c>
      <c r="G66" s="6">
        <v>441.1</v>
      </c>
    </row>
    <row r="67" spans="1:7" ht="13.8">
      <c r="A67" s="9" t="s">
        <v>277</v>
      </c>
      <c r="B67" s="6" t="s">
        <v>278</v>
      </c>
      <c r="C67" s="6" t="s">
        <v>279</v>
      </c>
      <c r="D67" s="6" t="s">
        <v>274</v>
      </c>
      <c r="E67" s="6" t="s">
        <v>280</v>
      </c>
      <c r="F67" s="7" t="s">
        <v>280</v>
      </c>
      <c r="G67" s="6">
        <v>184.9</v>
      </c>
    </row>
    <row r="68" spans="1:7" ht="13.8">
      <c r="A68" s="9" t="s">
        <v>281</v>
      </c>
      <c r="B68" s="6" t="s">
        <v>282</v>
      </c>
      <c r="C68" s="6" t="s">
        <v>245</v>
      </c>
      <c r="D68" s="6" t="s">
        <v>274</v>
      </c>
      <c r="E68" s="6" t="s">
        <v>283</v>
      </c>
      <c r="F68" s="7" t="s">
        <v>283</v>
      </c>
      <c r="G68" s="6">
        <v>437.8</v>
      </c>
    </row>
    <row r="69" spans="1:7" ht="13.8">
      <c r="A69" s="9" t="s">
        <v>284</v>
      </c>
      <c r="B69" s="6" t="s">
        <v>285</v>
      </c>
      <c r="C69" s="6" t="s">
        <v>286</v>
      </c>
      <c r="D69" s="6" t="s">
        <v>287</v>
      </c>
      <c r="E69" s="6" t="s">
        <v>288</v>
      </c>
      <c r="F69" s="7" t="s">
        <v>288</v>
      </c>
      <c r="G69" s="6">
        <v>283.39999999999998</v>
      </c>
    </row>
    <row r="70" spans="1:7" ht="13.8">
      <c r="A70" s="9" t="s">
        <v>289</v>
      </c>
      <c r="B70" s="6" t="s">
        <v>290</v>
      </c>
      <c r="C70" s="6" t="s">
        <v>245</v>
      </c>
      <c r="D70" s="6" t="s">
        <v>291</v>
      </c>
      <c r="E70" s="6" t="s">
        <v>292</v>
      </c>
      <c r="F70" s="7" t="s">
        <v>292</v>
      </c>
      <c r="G70" s="6">
        <v>122.3</v>
      </c>
    </row>
    <row r="71" spans="1:7" ht="13.8">
      <c r="A71" s="9" t="s">
        <v>293</v>
      </c>
      <c r="B71" s="6" t="s">
        <v>294</v>
      </c>
      <c r="C71" s="6" t="s">
        <v>222</v>
      </c>
      <c r="D71" s="6" t="s">
        <v>295</v>
      </c>
      <c r="E71" s="6" t="s">
        <v>245</v>
      </c>
      <c r="F71" s="7" t="s">
        <v>245</v>
      </c>
      <c r="G71" s="6">
        <v>206.1</v>
      </c>
    </row>
    <row r="72" spans="1:7" ht="13.8">
      <c r="A72" s="9" t="s">
        <v>296</v>
      </c>
      <c r="B72" s="6" t="s">
        <v>297</v>
      </c>
      <c r="C72" s="6" t="s">
        <v>298</v>
      </c>
      <c r="D72" s="6" t="s">
        <v>297</v>
      </c>
      <c r="E72" s="6" t="s">
        <v>299</v>
      </c>
      <c r="F72" s="7" t="s">
        <v>299</v>
      </c>
      <c r="G72" s="6">
        <v>343.7</v>
      </c>
    </row>
    <row r="73" spans="1:7" ht="13.8">
      <c r="A73" s="9" t="s">
        <v>300</v>
      </c>
      <c r="B73" s="6" t="s">
        <v>301</v>
      </c>
      <c r="C73" s="6" t="s">
        <v>302</v>
      </c>
      <c r="D73" s="6" t="s">
        <v>18</v>
      </c>
      <c r="E73" s="6">
        <v>46230</v>
      </c>
      <c r="F73" s="7">
        <v>46230</v>
      </c>
      <c r="G73" s="6">
        <v>318.89999999999998</v>
      </c>
    </row>
    <row r="74" spans="1:7" ht="13.8">
      <c r="A74" s="9" t="s">
        <v>303</v>
      </c>
      <c r="B74" s="6" t="s">
        <v>304</v>
      </c>
      <c r="C74" s="6" t="s">
        <v>305</v>
      </c>
      <c r="D74" s="6" t="s">
        <v>304</v>
      </c>
      <c r="E74" s="6" t="s">
        <v>306</v>
      </c>
      <c r="F74" s="7" t="s">
        <v>306</v>
      </c>
      <c r="G74" s="6">
        <v>358.6</v>
      </c>
    </row>
    <row r="75" spans="1:7" ht="13.8">
      <c r="A75" s="9" t="s">
        <v>307</v>
      </c>
      <c r="B75" s="6" t="s">
        <v>308</v>
      </c>
      <c r="C75" s="6" t="s">
        <v>309</v>
      </c>
      <c r="D75" s="6" t="s">
        <v>310</v>
      </c>
      <c r="E75" s="6" t="s">
        <v>311</v>
      </c>
      <c r="F75" s="7" t="s">
        <v>311</v>
      </c>
      <c r="G75" s="6">
        <v>449</v>
      </c>
    </row>
    <row r="76" spans="1:7" ht="13.8">
      <c r="A76" s="9" t="s">
        <v>312</v>
      </c>
      <c r="B76" s="6" t="s">
        <v>313</v>
      </c>
      <c r="C76" s="6">
        <v>46290</v>
      </c>
      <c r="D76" s="6" t="s">
        <v>314</v>
      </c>
      <c r="E76" s="6" t="s">
        <v>315</v>
      </c>
      <c r="F76" s="7" t="s">
        <v>315</v>
      </c>
      <c r="G76" s="6">
        <v>308.2</v>
      </c>
    </row>
    <row r="77" spans="1:7" ht="13.8">
      <c r="A77" s="9" t="s">
        <v>316</v>
      </c>
      <c r="B77" s="6" t="s">
        <v>317</v>
      </c>
      <c r="C77" s="6" t="s">
        <v>318</v>
      </c>
      <c r="D77" s="6">
        <v>46258</v>
      </c>
      <c r="E77" s="6" t="s">
        <v>319</v>
      </c>
      <c r="F77" s="7" t="s">
        <v>319</v>
      </c>
      <c r="G77" s="6">
        <v>344.2</v>
      </c>
    </row>
    <row r="78" spans="1:7" ht="13.8">
      <c r="A78" s="9" t="s">
        <v>320</v>
      </c>
      <c r="B78" s="6" t="s">
        <v>321</v>
      </c>
      <c r="C78" s="6" t="s">
        <v>309</v>
      </c>
      <c r="D78" s="6">
        <v>46227</v>
      </c>
      <c r="E78" s="6" t="s">
        <v>322</v>
      </c>
      <c r="F78" s="7" t="s">
        <v>322</v>
      </c>
      <c r="G78" s="6">
        <v>170.3</v>
      </c>
    </row>
    <row r="79" spans="1:7" ht="13.8">
      <c r="A79" s="9" t="s">
        <v>323</v>
      </c>
      <c r="B79" s="6" t="s">
        <v>324</v>
      </c>
      <c r="C79" s="6" t="s">
        <v>325</v>
      </c>
      <c r="D79" s="6" t="s">
        <v>326</v>
      </c>
      <c r="E79" s="6" t="s">
        <v>327</v>
      </c>
      <c r="F79" s="7" t="s">
        <v>327</v>
      </c>
      <c r="G79" s="6">
        <v>188.4</v>
      </c>
    </row>
    <row r="80" spans="1:7" ht="13.8">
      <c r="A80" s="9" t="s">
        <v>328</v>
      </c>
      <c r="B80" s="6" t="s">
        <v>329</v>
      </c>
      <c r="C80" s="6" t="s">
        <v>330</v>
      </c>
      <c r="D80" s="6" t="s">
        <v>331</v>
      </c>
      <c r="E80" s="6" t="s">
        <v>332</v>
      </c>
      <c r="F80" s="7" t="s">
        <v>332</v>
      </c>
      <c r="G80" s="6">
        <v>218.8</v>
      </c>
    </row>
    <row r="81" spans="1:7" ht="13.8">
      <c r="A81" s="9" t="s">
        <v>333</v>
      </c>
      <c r="B81" s="6" t="s">
        <v>334</v>
      </c>
      <c r="C81" s="6" t="s">
        <v>335</v>
      </c>
      <c r="D81" s="6" t="s">
        <v>336</v>
      </c>
      <c r="E81" s="6" t="s">
        <v>337</v>
      </c>
      <c r="F81" s="7" t="s">
        <v>337</v>
      </c>
      <c r="G81" s="6">
        <v>300</v>
      </c>
    </row>
    <row r="82" spans="1:7" ht="13.8">
      <c r="A82" s="9" t="s">
        <v>338</v>
      </c>
      <c r="B82" s="6" t="s">
        <v>334</v>
      </c>
      <c r="C82" s="6">
        <v>46321</v>
      </c>
      <c r="D82" s="6" t="s">
        <v>339</v>
      </c>
      <c r="E82" s="6" t="s">
        <v>340</v>
      </c>
      <c r="F82" s="7" t="s">
        <v>340</v>
      </c>
      <c r="G82" s="6">
        <v>338.2</v>
      </c>
    </row>
    <row r="83" spans="1:7" ht="13.8">
      <c r="A83" s="9" t="s">
        <v>341</v>
      </c>
      <c r="B83" s="6" t="s">
        <v>342</v>
      </c>
      <c r="C83" s="6" t="s">
        <v>343</v>
      </c>
      <c r="D83" s="6" t="s">
        <v>304</v>
      </c>
      <c r="E83" s="6" t="s">
        <v>19</v>
      </c>
      <c r="F83" s="7" t="s">
        <v>19</v>
      </c>
      <c r="G83" s="6">
        <v>253.8</v>
      </c>
    </row>
    <row r="84" spans="1:7" ht="13.8">
      <c r="A84" s="9" t="s">
        <v>344</v>
      </c>
      <c r="B84" s="6" t="s">
        <v>345</v>
      </c>
      <c r="C84" s="6" t="s">
        <v>346</v>
      </c>
      <c r="D84" s="6" t="s">
        <v>347</v>
      </c>
      <c r="E84" s="6" t="s">
        <v>348</v>
      </c>
      <c r="F84" s="7" t="s">
        <v>348</v>
      </c>
      <c r="G84" s="6">
        <v>258</v>
      </c>
    </row>
    <row r="85" spans="1:7" ht="13.8">
      <c r="A85" s="9" t="s">
        <v>349</v>
      </c>
      <c r="B85" s="6" t="s">
        <v>350</v>
      </c>
      <c r="C85" s="6" t="s">
        <v>206</v>
      </c>
      <c r="D85" s="6" t="s">
        <v>351</v>
      </c>
      <c r="E85" s="6" t="s">
        <v>352</v>
      </c>
      <c r="F85" s="7" t="s">
        <v>352</v>
      </c>
      <c r="G85" s="6">
        <v>203.3</v>
      </c>
    </row>
    <row r="86" spans="1:7" ht="13.8">
      <c r="A86" s="9" t="s">
        <v>353</v>
      </c>
      <c r="B86" s="6" t="s">
        <v>354</v>
      </c>
      <c r="C86" s="6" t="s">
        <v>355</v>
      </c>
      <c r="D86" s="6" t="s">
        <v>343</v>
      </c>
      <c r="E86" s="6" t="s">
        <v>356</v>
      </c>
      <c r="F86" s="7" t="s">
        <v>356</v>
      </c>
      <c r="G86" s="6">
        <v>232.4</v>
      </c>
    </row>
    <row r="87" spans="1:7" ht="13.8">
      <c r="A87" s="9" t="s">
        <v>357</v>
      </c>
      <c r="B87" s="6">
        <v>46353</v>
      </c>
      <c r="C87" s="6" t="s">
        <v>358</v>
      </c>
      <c r="D87" s="6" t="s">
        <v>348</v>
      </c>
      <c r="E87" s="6" t="s">
        <v>354</v>
      </c>
      <c r="F87" s="7" t="s">
        <v>354</v>
      </c>
      <c r="G87" s="6">
        <v>291</v>
      </c>
    </row>
    <row r="88" spans="1:7" ht="13.8">
      <c r="A88" s="9" t="s">
        <v>359</v>
      </c>
      <c r="B88" s="6" t="s">
        <v>360</v>
      </c>
      <c r="C88" s="6" t="s">
        <v>361</v>
      </c>
      <c r="D88" s="6" t="s">
        <v>362</v>
      </c>
      <c r="E88" s="6" t="s">
        <v>358</v>
      </c>
      <c r="F88" s="7" t="s">
        <v>358</v>
      </c>
      <c r="G88" s="6">
        <v>195.5</v>
      </c>
    </row>
    <row r="89" spans="1:7" ht="13.8">
      <c r="A89" s="9" t="s">
        <v>363</v>
      </c>
      <c r="B89" s="6" t="s">
        <v>364</v>
      </c>
      <c r="C89" s="6">
        <v>46109</v>
      </c>
      <c r="D89" s="6" t="s">
        <v>306</v>
      </c>
      <c r="E89" s="6" t="s">
        <v>365</v>
      </c>
      <c r="F89" s="7" t="s">
        <v>365</v>
      </c>
      <c r="G89" s="6">
        <v>524.1</v>
      </c>
    </row>
    <row r="90" spans="1:7" ht="13.8">
      <c r="A90" s="9" t="s">
        <v>366</v>
      </c>
      <c r="B90" s="6" t="s">
        <v>367</v>
      </c>
      <c r="C90" s="6" t="s">
        <v>368</v>
      </c>
      <c r="D90" s="6">
        <v>46384</v>
      </c>
      <c r="E90" s="6" t="s">
        <v>275</v>
      </c>
      <c r="F90" s="7" t="s">
        <v>275</v>
      </c>
      <c r="G90" s="6">
        <v>317.7</v>
      </c>
    </row>
    <row r="91" spans="1:7" ht="13.8">
      <c r="A91" s="9" t="s">
        <v>369</v>
      </c>
      <c r="B91" s="6" t="s">
        <v>156</v>
      </c>
      <c r="C91" s="6" t="s">
        <v>370</v>
      </c>
      <c r="D91" s="6" t="s">
        <v>371</v>
      </c>
      <c r="E91" s="6" t="s">
        <v>372</v>
      </c>
      <c r="F91" s="7" t="s">
        <v>372</v>
      </c>
      <c r="G91" s="6">
        <v>132.80000000000001</v>
      </c>
    </row>
    <row r="92" spans="1:7" ht="13.8">
      <c r="A92" s="9" t="s">
        <v>373</v>
      </c>
      <c r="B92" s="6" t="s">
        <v>374</v>
      </c>
      <c r="C92" s="6" t="s">
        <v>374</v>
      </c>
      <c r="D92" s="6" t="s">
        <v>375</v>
      </c>
      <c r="E92" s="6" t="s">
        <v>376</v>
      </c>
      <c r="F92" s="7" t="s">
        <v>376</v>
      </c>
      <c r="G92" s="6">
        <v>83.6</v>
      </c>
    </row>
    <row r="93" spans="1:7" ht="13.8">
      <c r="A93" s="9" t="s">
        <v>377</v>
      </c>
      <c r="B93" s="6" t="s">
        <v>378</v>
      </c>
      <c r="C93" s="6" t="s">
        <v>379</v>
      </c>
      <c r="D93" s="6" t="s">
        <v>380</v>
      </c>
      <c r="E93" s="6" t="s">
        <v>381</v>
      </c>
      <c r="F93" s="7" t="s">
        <v>381</v>
      </c>
      <c r="G93" s="6">
        <v>165.8</v>
      </c>
    </row>
    <row r="94" spans="1:7" ht="13.8">
      <c r="A94" s="9" t="s">
        <v>382</v>
      </c>
      <c r="B94" s="6" t="s">
        <v>383</v>
      </c>
      <c r="C94" s="6" t="s">
        <v>379</v>
      </c>
      <c r="D94" s="6" t="s">
        <v>384</v>
      </c>
      <c r="E94" s="6" t="s">
        <v>385</v>
      </c>
      <c r="F94" s="7" t="s">
        <v>385</v>
      </c>
      <c r="G94" s="6">
        <v>204.2</v>
      </c>
    </row>
    <row r="95" spans="1:7" ht="13.8">
      <c r="A95" s="9" t="s">
        <v>386</v>
      </c>
      <c r="B95" s="6" t="s">
        <v>387</v>
      </c>
      <c r="C95" s="6" t="s">
        <v>388</v>
      </c>
      <c r="D95" s="6" t="s">
        <v>389</v>
      </c>
      <c r="E95" s="6" t="s">
        <v>141</v>
      </c>
      <c r="F95" s="7" t="s">
        <v>141</v>
      </c>
      <c r="G95" s="6">
        <v>208.4</v>
      </c>
    </row>
    <row r="96" spans="1:7" ht="13.8">
      <c r="A96" s="9" t="s">
        <v>390</v>
      </c>
      <c r="B96" s="6" t="s">
        <v>391</v>
      </c>
      <c r="C96" s="6" t="s">
        <v>392</v>
      </c>
      <c r="D96" s="6" t="s">
        <v>393</v>
      </c>
      <c r="E96" s="6" t="s">
        <v>394</v>
      </c>
      <c r="F96" s="7" t="s">
        <v>394</v>
      </c>
      <c r="G96" s="6">
        <v>171.3</v>
      </c>
    </row>
    <row r="97" spans="1:7" ht="13.8">
      <c r="A97" s="9" t="s">
        <v>395</v>
      </c>
      <c r="B97" s="6" t="s">
        <v>396</v>
      </c>
      <c r="C97" s="6" t="s">
        <v>125</v>
      </c>
      <c r="D97" s="6" t="s">
        <v>396</v>
      </c>
      <c r="E97" s="6" t="s">
        <v>391</v>
      </c>
      <c r="F97" s="7" t="s">
        <v>391</v>
      </c>
      <c r="G97" s="6">
        <v>136.19999999999999</v>
      </c>
    </row>
    <row r="98" spans="1:7" ht="13.8">
      <c r="A98" s="9" t="s">
        <v>397</v>
      </c>
      <c r="B98" s="6" t="s">
        <v>93</v>
      </c>
      <c r="C98" s="6" t="s">
        <v>398</v>
      </c>
      <c r="D98" s="6" t="s">
        <v>80</v>
      </c>
      <c r="E98" s="6" t="s">
        <v>195</v>
      </c>
      <c r="F98" s="7" t="s">
        <v>195</v>
      </c>
      <c r="G98" s="6">
        <v>102.3</v>
      </c>
    </row>
    <row r="99" spans="1:7" ht="13.8">
      <c r="A99" s="9" t="s">
        <v>399</v>
      </c>
      <c r="B99" s="6" t="s">
        <v>400</v>
      </c>
      <c r="C99" s="6" t="s">
        <v>401</v>
      </c>
      <c r="D99" s="6">
        <v>46203</v>
      </c>
      <c r="E99" s="6" t="s">
        <v>402</v>
      </c>
      <c r="F99" s="7" t="s">
        <v>402</v>
      </c>
      <c r="G99" s="6">
        <v>127.3</v>
      </c>
    </row>
    <row r="100" spans="1:7" ht="13.8">
      <c r="A100" s="9" t="s">
        <v>403</v>
      </c>
      <c r="B100" s="6" t="s">
        <v>404</v>
      </c>
      <c r="C100" s="6" t="s">
        <v>405</v>
      </c>
      <c r="D100" s="6">
        <v>46172</v>
      </c>
      <c r="E100" s="6" t="s">
        <v>406</v>
      </c>
      <c r="F100" s="7" t="s">
        <v>406</v>
      </c>
      <c r="G100" s="6">
        <v>109.1</v>
      </c>
    </row>
    <row r="101" spans="1:7" ht="13.8">
      <c r="A101" s="9" t="s">
        <v>407</v>
      </c>
      <c r="B101" s="6" t="s">
        <v>89</v>
      </c>
      <c r="C101" s="6" t="s">
        <v>408</v>
      </c>
      <c r="D101" s="6" t="s">
        <v>239</v>
      </c>
      <c r="E101" s="6" t="s">
        <v>100</v>
      </c>
      <c r="F101" s="7" t="s">
        <v>100</v>
      </c>
      <c r="G101" s="6">
        <v>131.69999999999999</v>
      </c>
    </row>
    <row r="102" spans="1:7" ht="13.8">
      <c r="A102" s="9" t="s">
        <v>409</v>
      </c>
      <c r="B102" s="6">
        <v>46294</v>
      </c>
      <c r="C102" s="6" t="s">
        <v>190</v>
      </c>
      <c r="D102" s="6" t="s">
        <v>220</v>
      </c>
      <c r="E102" s="6" t="s">
        <v>410</v>
      </c>
      <c r="F102" s="7" t="s">
        <v>410</v>
      </c>
      <c r="G102" s="6">
        <v>153.9</v>
      </c>
    </row>
    <row r="103" spans="1:7" ht="13.8">
      <c r="A103" s="9" t="s">
        <v>411</v>
      </c>
      <c r="B103" s="6" t="s">
        <v>220</v>
      </c>
      <c r="C103" s="6" t="s">
        <v>412</v>
      </c>
      <c r="D103" s="6" t="s">
        <v>240</v>
      </c>
      <c r="E103" s="6" t="s">
        <v>413</v>
      </c>
      <c r="F103" s="7" t="s">
        <v>413</v>
      </c>
      <c r="G103" s="6">
        <v>126.9</v>
      </c>
    </row>
    <row r="104" spans="1:7" ht="13.8">
      <c r="A104" s="9" t="s">
        <v>414</v>
      </c>
      <c r="B104" s="6" t="s">
        <v>415</v>
      </c>
      <c r="C104" s="6" t="s">
        <v>416</v>
      </c>
      <c r="D104" s="6" t="s">
        <v>417</v>
      </c>
      <c r="E104" s="6" t="s">
        <v>418</v>
      </c>
      <c r="F104" s="7" t="s">
        <v>418</v>
      </c>
      <c r="G104" s="6">
        <v>187.5</v>
      </c>
    </row>
    <row r="105" spans="1:7" ht="13.8">
      <c r="A105" s="9" t="s">
        <v>419</v>
      </c>
      <c r="B105" s="6">
        <v>46142</v>
      </c>
      <c r="C105" s="6">
        <v>46264</v>
      </c>
      <c r="D105" s="6" t="s">
        <v>420</v>
      </c>
      <c r="E105" s="6" t="s">
        <v>415</v>
      </c>
      <c r="F105" s="7" t="s">
        <v>415</v>
      </c>
      <c r="G105" s="6">
        <v>177.2</v>
      </c>
    </row>
    <row r="106" spans="1:7" ht="13.8">
      <c r="A106" s="9" t="s">
        <v>421</v>
      </c>
      <c r="B106" s="6" t="s">
        <v>248</v>
      </c>
      <c r="C106" s="6" t="s">
        <v>422</v>
      </c>
      <c r="D106" s="6" t="s">
        <v>243</v>
      </c>
      <c r="E106" s="6" t="s">
        <v>423</v>
      </c>
      <c r="F106" s="7" t="s">
        <v>423</v>
      </c>
      <c r="G106" s="6">
        <v>139.9</v>
      </c>
    </row>
    <row r="107" spans="1:7" ht="13.8">
      <c r="A107" s="9" t="s">
        <v>424</v>
      </c>
      <c r="B107" s="6" t="s">
        <v>97</v>
      </c>
      <c r="C107" s="6" t="s">
        <v>425</v>
      </c>
      <c r="D107" s="6" t="s">
        <v>426</v>
      </c>
      <c r="E107" s="6" t="s">
        <v>261</v>
      </c>
      <c r="F107" s="7" t="s">
        <v>261</v>
      </c>
      <c r="G107" s="6">
        <v>171.6</v>
      </c>
    </row>
    <row r="108" spans="1:7" ht="13.8">
      <c r="A108" s="9" t="s">
        <v>427</v>
      </c>
      <c r="B108" s="6" t="s">
        <v>428</v>
      </c>
      <c r="C108" s="6" t="s">
        <v>428</v>
      </c>
      <c r="D108" s="6" t="s">
        <v>404</v>
      </c>
      <c r="E108" s="6" t="s">
        <v>85</v>
      </c>
      <c r="F108" s="7" t="s">
        <v>85</v>
      </c>
      <c r="G108" s="6">
        <v>197.5</v>
      </c>
    </row>
    <row r="109" spans="1:7" ht="13.8">
      <c r="A109" s="9" t="s">
        <v>429</v>
      </c>
      <c r="B109" s="6" t="s">
        <v>430</v>
      </c>
      <c r="C109" s="6" t="s">
        <v>431</v>
      </c>
      <c r="D109" s="6" t="s">
        <v>113</v>
      </c>
      <c r="E109" s="6" t="s">
        <v>432</v>
      </c>
      <c r="F109" s="7" t="s">
        <v>432</v>
      </c>
      <c r="G109" s="6">
        <v>168.5</v>
      </c>
    </row>
    <row r="110" spans="1:7" ht="13.8">
      <c r="A110" s="9" t="s">
        <v>433</v>
      </c>
      <c r="B110" s="6" t="s">
        <v>183</v>
      </c>
      <c r="C110" s="6" t="s">
        <v>434</v>
      </c>
      <c r="D110" s="6" t="s">
        <v>435</v>
      </c>
      <c r="E110" s="6" t="s">
        <v>436</v>
      </c>
      <c r="F110" s="7" t="s">
        <v>436</v>
      </c>
      <c r="G110" s="6">
        <v>146.80000000000001</v>
      </c>
    </row>
    <row r="111" spans="1:7" ht="13.8">
      <c r="A111" s="9" t="s">
        <v>437</v>
      </c>
      <c r="B111" s="6" t="s">
        <v>127</v>
      </c>
      <c r="C111" s="6" t="s">
        <v>438</v>
      </c>
      <c r="D111" s="6" t="s">
        <v>439</v>
      </c>
      <c r="E111" s="6" t="s">
        <v>440</v>
      </c>
      <c r="F111" s="7" t="s">
        <v>440</v>
      </c>
      <c r="G111" s="6">
        <v>153.30000000000001</v>
      </c>
    </row>
    <row r="112" spans="1:7" ht="13.8">
      <c r="A112" s="9" t="s">
        <v>441</v>
      </c>
      <c r="B112" s="6" t="s">
        <v>442</v>
      </c>
      <c r="C112" s="6" t="s">
        <v>132</v>
      </c>
      <c r="D112" s="6" t="s">
        <v>69</v>
      </c>
      <c r="E112" s="6" t="s">
        <v>443</v>
      </c>
      <c r="F112" s="7" t="s">
        <v>443</v>
      </c>
      <c r="G112" s="6">
        <v>243.3</v>
      </c>
    </row>
    <row r="113" spans="1:7" ht="13.8">
      <c r="A113" s="9" t="s">
        <v>444</v>
      </c>
      <c r="B113" s="6" t="s">
        <v>170</v>
      </c>
      <c r="C113" s="6" t="s">
        <v>170</v>
      </c>
      <c r="D113" s="6" t="s">
        <v>83</v>
      </c>
      <c r="E113" s="6" t="s">
        <v>445</v>
      </c>
      <c r="F113" s="7" t="s">
        <v>445</v>
      </c>
      <c r="G113" s="6">
        <v>245.2</v>
      </c>
    </row>
    <row r="114" spans="1:7" ht="13.8">
      <c r="A114" s="9" t="s">
        <v>446</v>
      </c>
      <c r="B114" s="6" t="s">
        <v>447</v>
      </c>
      <c r="C114" s="6" t="s">
        <v>448</v>
      </c>
      <c r="D114" s="6" t="s">
        <v>371</v>
      </c>
      <c r="E114" s="6" t="s">
        <v>449</v>
      </c>
      <c r="F114" s="7" t="s">
        <v>449</v>
      </c>
      <c r="G114" s="6">
        <v>311.10000000000002</v>
      </c>
    </row>
    <row r="115" spans="1:7" ht="13.8">
      <c r="A115" s="9" t="s">
        <v>450</v>
      </c>
      <c r="B115" s="6" t="s">
        <v>439</v>
      </c>
      <c r="C115" s="6" t="s">
        <v>443</v>
      </c>
      <c r="D115" s="6" t="s">
        <v>451</v>
      </c>
      <c r="E115" s="6" t="s">
        <v>452</v>
      </c>
      <c r="F115" s="7" t="s">
        <v>452</v>
      </c>
      <c r="G115" s="6">
        <v>226.8</v>
      </c>
    </row>
    <row r="116" spans="1:7" ht="13.8">
      <c r="A116" s="9" t="s">
        <v>453</v>
      </c>
      <c r="B116" s="6" t="s">
        <v>439</v>
      </c>
      <c r="C116" s="6" t="s">
        <v>150</v>
      </c>
      <c r="D116" s="6" t="s">
        <v>454</v>
      </c>
      <c r="E116" s="6" t="s">
        <v>152</v>
      </c>
      <c r="F116" s="7" t="s">
        <v>152</v>
      </c>
      <c r="G116" s="6">
        <v>148</v>
      </c>
    </row>
    <row r="117" spans="1:7" ht="13.8">
      <c r="A117" s="9" t="s">
        <v>455</v>
      </c>
      <c r="B117" s="6" t="s">
        <v>150</v>
      </c>
      <c r="C117" s="6" t="s">
        <v>456</v>
      </c>
      <c r="D117" s="6" t="s">
        <v>457</v>
      </c>
      <c r="E117" s="6" t="s">
        <v>134</v>
      </c>
      <c r="F117" s="7" t="s">
        <v>134</v>
      </c>
      <c r="G117" s="6">
        <v>151</v>
      </c>
    </row>
    <row r="118" spans="1:7" ht="13.8">
      <c r="A118" s="9" t="s">
        <v>458</v>
      </c>
      <c r="B118" s="6" t="s">
        <v>459</v>
      </c>
      <c r="C118" s="6" t="s">
        <v>443</v>
      </c>
      <c r="D118" s="6" t="s">
        <v>82</v>
      </c>
      <c r="E118" s="6" t="s">
        <v>430</v>
      </c>
      <c r="F118" s="7" t="s">
        <v>430</v>
      </c>
      <c r="G118" s="6">
        <v>159.6</v>
      </c>
    </row>
    <row r="119" spans="1:7" ht="13.8">
      <c r="A119" s="9" t="s">
        <v>460</v>
      </c>
      <c r="B119" s="6" t="s">
        <v>461</v>
      </c>
      <c r="C119" s="6" t="s">
        <v>434</v>
      </c>
      <c r="D119" s="6" t="s">
        <v>371</v>
      </c>
      <c r="E119" s="6" t="s">
        <v>454</v>
      </c>
      <c r="F119" s="7" t="s">
        <v>454</v>
      </c>
      <c r="G119" s="6">
        <v>389.6</v>
      </c>
    </row>
    <row r="120" spans="1:7" ht="13.8">
      <c r="A120" s="9" t="s">
        <v>462</v>
      </c>
      <c r="B120" s="6" t="s">
        <v>463</v>
      </c>
      <c r="C120" s="6" t="s">
        <v>141</v>
      </c>
      <c r="D120" s="6" t="s">
        <v>440</v>
      </c>
      <c r="E120" s="6" t="s">
        <v>464</v>
      </c>
      <c r="F120" s="7" t="s">
        <v>464</v>
      </c>
      <c r="G120" s="6">
        <v>159.80000000000001</v>
      </c>
    </row>
    <row r="121" spans="1:7" ht="13.8">
      <c r="A121" s="9" t="s">
        <v>465</v>
      </c>
      <c r="B121" s="6" t="s">
        <v>170</v>
      </c>
      <c r="C121" s="6" t="s">
        <v>466</v>
      </c>
      <c r="D121" s="6" t="s">
        <v>174</v>
      </c>
      <c r="E121" s="6" t="s">
        <v>467</v>
      </c>
      <c r="F121" s="7" t="s">
        <v>467</v>
      </c>
      <c r="G121" s="6">
        <v>272.8</v>
      </c>
    </row>
    <row r="122" spans="1:7" ht="13.8">
      <c r="A122" s="9" t="s">
        <v>468</v>
      </c>
      <c r="B122" s="6" t="s">
        <v>469</v>
      </c>
      <c r="C122" s="6" t="s">
        <v>368</v>
      </c>
      <c r="D122" s="6" t="s">
        <v>470</v>
      </c>
      <c r="E122" s="6" t="s">
        <v>162</v>
      </c>
      <c r="F122" s="7" t="s">
        <v>162</v>
      </c>
      <c r="G122" s="6">
        <v>165.2</v>
      </c>
    </row>
    <row r="123" spans="1:7" ht="13.8">
      <c r="A123" s="9" t="s">
        <v>471</v>
      </c>
      <c r="B123" s="6" t="s">
        <v>472</v>
      </c>
      <c r="C123" s="6" t="s">
        <v>473</v>
      </c>
      <c r="D123" s="6" t="s">
        <v>391</v>
      </c>
      <c r="E123" s="6" t="s">
        <v>474</v>
      </c>
      <c r="F123" s="7" t="s">
        <v>474</v>
      </c>
      <c r="G123" s="6">
        <v>144.6</v>
      </c>
    </row>
    <row r="124" spans="1:7" ht="13.8">
      <c r="A124" s="9" t="s">
        <v>475</v>
      </c>
      <c r="B124" s="6" t="s">
        <v>476</v>
      </c>
      <c r="C124" s="6" t="s">
        <v>476</v>
      </c>
      <c r="D124" s="6" t="s">
        <v>477</v>
      </c>
      <c r="E124" s="6" t="s">
        <v>478</v>
      </c>
      <c r="F124" s="7" t="s">
        <v>478</v>
      </c>
      <c r="G124" s="6">
        <v>123.6</v>
      </c>
    </row>
    <row r="125" spans="1:7" ht="13.8">
      <c r="A125" s="9" t="s">
        <v>479</v>
      </c>
      <c r="B125" s="6" t="s">
        <v>480</v>
      </c>
      <c r="C125" s="6" t="s">
        <v>481</v>
      </c>
      <c r="D125" s="6" t="s">
        <v>480</v>
      </c>
      <c r="E125" s="6" t="s">
        <v>482</v>
      </c>
      <c r="F125" s="7" t="s">
        <v>482</v>
      </c>
      <c r="G125" s="6">
        <v>219.4</v>
      </c>
    </row>
    <row r="126" spans="1:7" ht="13.8">
      <c r="A126" s="9" t="s">
        <v>483</v>
      </c>
      <c r="B126" s="6" t="s">
        <v>484</v>
      </c>
      <c r="C126" s="6" t="s">
        <v>484</v>
      </c>
      <c r="D126" s="6" t="s">
        <v>485</v>
      </c>
      <c r="E126" s="6" t="s">
        <v>439</v>
      </c>
      <c r="F126" s="7" t="s">
        <v>439</v>
      </c>
      <c r="G126" s="6">
        <v>230.5</v>
      </c>
    </row>
    <row r="127" spans="1:7" ht="13.8">
      <c r="A127" s="9" t="s">
        <v>486</v>
      </c>
      <c r="B127" s="6" t="s">
        <v>387</v>
      </c>
      <c r="C127" s="6" t="s">
        <v>487</v>
      </c>
      <c r="D127" s="6" t="s">
        <v>488</v>
      </c>
      <c r="E127" s="6" t="s">
        <v>389</v>
      </c>
      <c r="F127" s="7" t="s">
        <v>389</v>
      </c>
      <c r="G127" s="6">
        <v>187.3</v>
      </c>
    </row>
    <row r="128" spans="1:7" ht="13.8">
      <c r="A128" s="9" t="s">
        <v>489</v>
      </c>
      <c r="B128" s="6" t="s">
        <v>490</v>
      </c>
      <c r="C128" s="6" t="s">
        <v>380</v>
      </c>
      <c r="D128" s="6" t="s">
        <v>127</v>
      </c>
      <c r="E128" s="6" t="s">
        <v>491</v>
      </c>
      <c r="F128" s="7" t="s">
        <v>491</v>
      </c>
      <c r="G128" s="6">
        <v>234.1</v>
      </c>
    </row>
    <row r="129" spans="1:7" ht="13.8">
      <c r="A129" s="9" t="s">
        <v>492</v>
      </c>
      <c r="B129" s="6" t="s">
        <v>121</v>
      </c>
      <c r="C129" s="6" t="s">
        <v>493</v>
      </c>
      <c r="D129" s="6" t="s">
        <v>494</v>
      </c>
      <c r="E129" s="6" t="s">
        <v>476</v>
      </c>
      <c r="F129" s="7" t="s">
        <v>476</v>
      </c>
      <c r="G129" s="6">
        <v>243.2</v>
      </c>
    </row>
    <row r="130" spans="1:7" ht="13.8">
      <c r="A130" s="9" t="s">
        <v>495</v>
      </c>
      <c r="B130" s="6" t="s">
        <v>496</v>
      </c>
      <c r="C130" s="6" t="s">
        <v>156</v>
      </c>
      <c r="D130" s="6" t="s">
        <v>497</v>
      </c>
      <c r="E130" s="6" t="s">
        <v>156</v>
      </c>
      <c r="F130" s="7" t="s">
        <v>156</v>
      </c>
      <c r="G130" s="6">
        <v>238.9</v>
      </c>
    </row>
    <row r="131" spans="1:7" ht="13.8">
      <c r="A131" s="9" t="s">
        <v>498</v>
      </c>
      <c r="B131" s="6" t="s">
        <v>182</v>
      </c>
      <c r="C131" s="6" t="s">
        <v>137</v>
      </c>
      <c r="D131" s="6" t="s">
        <v>499</v>
      </c>
      <c r="E131" s="6" t="s">
        <v>56</v>
      </c>
      <c r="F131" s="7" t="s">
        <v>56</v>
      </c>
      <c r="G131" s="6">
        <v>236.1</v>
      </c>
    </row>
    <row r="132" spans="1:7" ht="13.8">
      <c r="A132" s="9" t="s">
        <v>500</v>
      </c>
      <c r="B132" s="6" t="s">
        <v>501</v>
      </c>
      <c r="C132" s="6" t="s">
        <v>502</v>
      </c>
      <c r="D132" s="6" t="s">
        <v>130</v>
      </c>
      <c r="E132" s="6" t="s">
        <v>503</v>
      </c>
      <c r="F132" s="7" t="s">
        <v>503</v>
      </c>
      <c r="G132" s="6">
        <v>264.3</v>
      </c>
    </row>
    <row r="133" spans="1:7" ht="13.8">
      <c r="A133" s="9" t="s">
        <v>504</v>
      </c>
      <c r="B133" s="6" t="s">
        <v>392</v>
      </c>
      <c r="C133" s="6" t="s">
        <v>109</v>
      </c>
      <c r="D133" s="6" t="s">
        <v>505</v>
      </c>
      <c r="E133" s="6" t="s">
        <v>156</v>
      </c>
      <c r="F133" s="7" t="s">
        <v>156</v>
      </c>
      <c r="G133" s="6">
        <v>561.4</v>
      </c>
    </row>
    <row r="134" spans="1:7" ht="13.8">
      <c r="A134" s="9" t="s">
        <v>506</v>
      </c>
      <c r="B134" s="6" t="s">
        <v>507</v>
      </c>
      <c r="C134" s="6" t="s">
        <v>508</v>
      </c>
      <c r="D134" s="6" t="s">
        <v>80</v>
      </c>
      <c r="E134" s="6" t="s">
        <v>509</v>
      </c>
      <c r="F134" s="7" t="s">
        <v>509</v>
      </c>
      <c r="G134" s="6">
        <v>957.9</v>
      </c>
    </row>
    <row r="135" spans="1:7" ht="13.8">
      <c r="A135" s="9" t="s">
        <v>510</v>
      </c>
      <c r="B135" s="6" t="s">
        <v>511</v>
      </c>
      <c r="C135" s="6" t="s">
        <v>512</v>
      </c>
      <c r="D135" s="6" t="s">
        <v>511</v>
      </c>
      <c r="E135" s="6" t="s">
        <v>513</v>
      </c>
      <c r="F135" s="7" t="s">
        <v>513</v>
      </c>
      <c r="G135" s="6">
        <v>188.5</v>
      </c>
    </row>
    <row r="136" spans="1:7" ht="13.8">
      <c r="A136" s="9" t="s">
        <v>514</v>
      </c>
      <c r="B136" s="6" t="s">
        <v>515</v>
      </c>
      <c r="C136" s="6" t="s">
        <v>516</v>
      </c>
      <c r="D136" s="6" t="s">
        <v>517</v>
      </c>
      <c r="E136" s="6" t="s">
        <v>518</v>
      </c>
      <c r="F136" s="7" t="s">
        <v>518</v>
      </c>
      <c r="G136" s="6">
        <v>124.3</v>
      </c>
    </row>
    <row r="137" spans="1:7" ht="13.8">
      <c r="A137" s="9" t="s">
        <v>519</v>
      </c>
      <c r="B137" s="6" t="s">
        <v>520</v>
      </c>
      <c r="C137" s="6" t="s">
        <v>521</v>
      </c>
      <c r="D137" s="6" t="s">
        <v>511</v>
      </c>
      <c r="E137" s="6" t="s">
        <v>522</v>
      </c>
      <c r="F137" s="7" t="s">
        <v>522</v>
      </c>
      <c r="G137" s="6">
        <v>118.5</v>
      </c>
    </row>
    <row r="138" spans="1:7" ht="13.8">
      <c r="A138" s="9" t="s">
        <v>523</v>
      </c>
      <c r="B138" s="6" t="s">
        <v>524</v>
      </c>
      <c r="C138" s="6" t="s">
        <v>525</v>
      </c>
      <c r="D138" s="6" t="s">
        <v>526</v>
      </c>
      <c r="E138" s="6" t="s">
        <v>527</v>
      </c>
      <c r="F138" s="7" t="s">
        <v>527</v>
      </c>
      <c r="G138" s="6">
        <v>248.9</v>
      </c>
    </row>
    <row r="139" spans="1:7" ht="13.8">
      <c r="A139" s="9" t="s">
        <v>528</v>
      </c>
      <c r="B139" s="6" t="s">
        <v>529</v>
      </c>
      <c r="C139" s="6" t="s">
        <v>530</v>
      </c>
      <c r="D139" s="6" t="s">
        <v>531</v>
      </c>
      <c r="E139" s="6" t="s">
        <v>532</v>
      </c>
      <c r="F139" s="7" t="s">
        <v>532</v>
      </c>
      <c r="G139" s="6">
        <v>76.400000000000006</v>
      </c>
    </row>
    <row r="140" spans="1:7" ht="13.8">
      <c r="A140" s="9" t="s">
        <v>533</v>
      </c>
      <c r="B140" s="6" t="s">
        <v>534</v>
      </c>
      <c r="C140" s="6" t="s">
        <v>535</v>
      </c>
      <c r="D140" s="6" t="s">
        <v>536</v>
      </c>
      <c r="E140" s="6" t="s">
        <v>537</v>
      </c>
      <c r="F140" s="7" t="s">
        <v>537</v>
      </c>
      <c r="G140" s="6">
        <v>109.1</v>
      </c>
    </row>
    <row r="141" spans="1:7" ht="13.8">
      <c r="A141" s="9" t="s">
        <v>538</v>
      </c>
      <c r="B141" s="6" t="s">
        <v>539</v>
      </c>
      <c r="C141" s="6" t="s">
        <v>540</v>
      </c>
      <c r="D141" s="6" t="s">
        <v>541</v>
      </c>
      <c r="E141" s="6" t="s">
        <v>542</v>
      </c>
      <c r="F141" s="7" t="s">
        <v>542</v>
      </c>
      <c r="G141" s="6">
        <v>87.6</v>
      </c>
    </row>
    <row r="142" spans="1:7" ht="13.8">
      <c r="A142" s="9" t="s">
        <v>543</v>
      </c>
      <c r="B142" s="6" t="s">
        <v>544</v>
      </c>
      <c r="C142" s="6" t="s">
        <v>545</v>
      </c>
      <c r="D142" s="6" t="s">
        <v>546</v>
      </c>
      <c r="E142" s="6" t="s">
        <v>547</v>
      </c>
      <c r="F142" s="7" t="s">
        <v>547</v>
      </c>
      <c r="G142" s="6">
        <v>103.8</v>
      </c>
    </row>
    <row r="143" spans="1:7" ht="13.8">
      <c r="A143" s="9" t="s">
        <v>548</v>
      </c>
      <c r="B143" s="6" t="s">
        <v>549</v>
      </c>
      <c r="C143" s="6" t="s">
        <v>550</v>
      </c>
      <c r="D143" s="6" t="s">
        <v>551</v>
      </c>
      <c r="E143" s="6" t="s">
        <v>552</v>
      </c>
      <c r="F143" s="7" t="s">
        <v>552</v>
      </c>
      <c r="G143" s="6">
        <v>148.9</v>
      </c>
    </row>
    <row r="144" spans="1:7" ht="13.8">
      <c r="A144" s="9" t="s">
        <v>553</v>
      </c>
      <c r="B144" s="6" t="s">
        <v>554</v>
      </c>
      <c r="C144" s="6" t="s">
        <v>534</v>
      </c>
      <c r="D144" s="6" t="s">
        <v>555</v>
      </c>
      <c r="E144" s="6" t="s">
        <v>556</v>
      </c>
      <c r="F144" s="7" t="s">
        <v>556</v>
      </c>
      <c r="G144" s="6">
        <v>115.7</v>
      </c>
    </row>
    <row r="145" spans="1:7" ht="13.8">
      <c r="A145" s="9" t="s">
        <v>557</v>
      </c>
      <c r="B145" s="6" t="s">
        <v>558</v>
      </c>
      <c r="C145" s="6" t="s">
        <v>559</v>
      </c>
      <c r="D145" s="6" t="s">
        <v>560</v>
      </c>
      <c r="E145" s="6" t="s">
        <v>561</v>
      </c>
      <c r="F145" s="7" t="s">
        <v>561</v>
      </c>
      <c r="G145" s="6">
        <v>121.8</v>
      </c>
    </row>
    <row r="146" spans="1:7" ht="13.8">
      <c r="A146" s="9" t="s">
        <v>562</v>
      </c>
      <c r="B146" s="6" t="s">
        <v>143</v>
      </c>
      <c r="C146" s="6" t="s">
        <v>563</v>
      </c>
      <c r="D146" s="6" t="s">
        <v>169</v>
      </c>
      <c r="E146" s="6" t="s">
        <v>564</v>
      </c>
      <c r="F146" s="7" t="s">
        <v>564</v>
      </c>
      <c r="G146" s="6">
        <v>146.4</v>
      </c>
    </row>
    <row r="147" spans="1:7" ht="13.8">
      <c r="A147" s="9" t="s">
        <v>565</v>
      </c>
      <c r="B147" s="6" t="s">
        <v>566</v>
      </c>
      <c r="C147" s="6" t="s">
        <v>428</v>
      </c>
      <c r="D147" s="6" t="s">
        <v>567</v>
      </c>
      <c r="E147" s="6" t="s">
        <v>568</v>
      </c>
      <c r="F147" s="7" t="s">
        <v>568</v>
      </c>
      <c r="G147" s="6">
        <v>104.7</v>
      </c>
    </row>
    <row r="148" spans="1:7" ht="13.8">
      <c r="A148" s="9" t="s">
        <v>569</v>
      </c>
      <c r="B148" s="6" t="s">
        <v>430</v>
      </c>
      <c r="C148" s="6" t="s">
        <v>173</v>
      </c>
      <c r="D148" s="6" t="s">
        <v>570</v>
      </c>
      <c r="E148" s="6" t="s">
        <v>571</v>
      </c>
      <c r="F148" s="7" t="s">
        <v>571</v>
      </c>
      <c r="G148" s="6">
        <v>125.3</v>
      </c>
    </row>
    <row r="149" spans="1:7" ht="13.8">
      <c r="A149" s="9" t="s">
        <v>572</v>
      </c>
      <c r="B149" s="6" t="s">
        <v>573</v>
      </c>
      <c r="C149" s="6" t="s">
        <v>573</v>
      </c>
      <c r="D149" s="6" t="s">
        <v>70</v>
      </c>
      <c r="E149" s="6" t="s">
        <v>574</v>
      </c>
      <c r="F149" s="7" t="s">
        <v>574</v>
      </c>
      <c r="G149" s="6">
        <v>118</v>
      </c>
    </row>
    <row r="150" spans="1:7" ht="13.8">
      <c r="A150" s="9" t="s">
        <v>575</v>
      </c>
      <c r="B150" s="6" t="s">
        <v>573</v>
      </c>
      <c r="C150" s="6" t="s">
        <v>151</v>
      </c>
      <c r="D150" s="6" t="s">
        <v>487</v>
      </c>
      <c r="E150" s="6" t="s">
        <v>179</v>
      </c>
      <c r="F150" s="7" t="s">
        <v>179</v>
      </c>
      <c r="G150" s="6">
        <v>121</v>
      </c>
    </row>
    <row r="151" spans="1:7" ht="13.8">
      <c r="A151" s="9" t="s">
        <v>576</v>
      </c>
      <c r="B151" s="6" t="s">
        <v>577</v>
      </c>
      <c r="C151" s="6" t="s">
        <v>109</v>
      </c>
      <c r="D151" s="6" t="s">
        <v>578</v>
      </c>
      <c r="E151" s="6" t="s">
        <v>573</v>
      </c>
      <c r="F151" s="7" t="s">
        <v>573</v>
      </c>
      <c r="G151" s="6">
        <v>86</v>
      </c>
    </row>
    <row r="152" spans="1:7" ht="13.8">
      <c r="A152" s="9" t="s">
        <v>579</v>
      </c>
      <c r="B152" s="6" t="s">
        <v>478</v>
      </c>
      <c r="C152" s="6" t="s">
        <v>580</v>
      </c>
      <c r="D152" s="6" t="s">
        <v>128</v>
      </c>
      <c r="E152" s="6" t="s">
        <v>581</v>
      </c>
      <c r="F152" s="7" t="s">
        <v>581</v>
      </c>
      <c r="G152" s="6">
        <v>65</v>
      </c>
    </row>
    <row r="153" spans="1:7" ht="13.8">
      <c r="A153" s="9" t="s">
        <v>582</v>
      </c>
      <c r="B153" s="6" t="s">
        <v>394</v>
      </c>
      <c r="C153" s="6" t="s">
        <v>502</v>
      </c>
      <c r="D153" s="6" t="s">
        <v>583</v>
      </c>
      <c r="E153" s="6" t="s">
        <v>584</v>
      </c>
      <c r="F153" s="7" t="s">
        <v>584</v>
      </c>
      <c r="G153" s="6">
        <v>142.1</v>
      </c>
    </row>
    <row r="154" spans="1:7" ht="13.8">
      <c r="A154" s="9" t="s">
        <v>585</v>
      </c>
      <c r="B154" s="6" t="s">
        <v>577</v>
      </c>
      <c r="C154" s="6" t="s">
        <v>586</v>
      </c>
      <c r="D154" s="6" t="s">
        <v>117</v>
      </c>
      <c r="E154" s="6" t="s">
        <v>587</v>
      </c>
      <c r="F154" s="7" t="s">
        <v>587</v>
      </c>
      <c r="G154" s="6">
        <v>116</v>
      </c>
    </row>
    <row r="155" spans="1:7" ht="13.8">
      <c r="A155" s="9" t="s">
        <v>588</v>
      </c>
      <c r="B155" s="6" t="s">
        <v>589</v>
      </c>
      <c r="C155" s="6" t="s">
        <v>589</v>
      </c>
      <c r="D155" s="6" t="s">
        <v>590</v>
      </c>
      <c r="E155" s="6" t="s">
        <v>591</v>
      </c>
      <c r="F155" s="7" t="s">
        <v>591</v>
      </c>
      <c r="G155" s="6">
        <v>106.5</v>
      </c>
    </row>
    <row r="156" spans="1:7" ht="13.8">
      <c r="A156" s="9" t="s">
        <v>592</v>
      </c>
      <c r="B156" s="6" t="s">
        <v>593</v>
      </c>
      <c r="C156" s="6" t="s">
        <v>593</v>
      </c>
      <c r="D156" s="6" t="s">
        <v>594</v>
      </c>
      <c r="E156" s="6" t="s">
        <v>595</v>
      </c>
      <c r="F156" s="7" t="s">
        <v>595</v>
      </c>
      <c r="G156" s="6">
        <v>78</v>
      </c>
    </row>
    <row r="157" spans="1:7" ht="13.8">
      <c r="A157" s="9" t="s">
        <v>596</v>
      </c>
      <c r="B157" s="6" t="s">
        <v>597</v>
      </c>
      <c r="C157" s="6" t="s">
        <v>598</v>
      </c>
      <c r="D157" s="6" t="s">
        <v>599</v>
      </c>
      <c r="E157" s="6" t="s">
        <v>595</v>
      </c>
      <c r="F157" s="7" t="s">
        <v>595</v>
      </c>
      <c r="G157" s="6">
        <v>193.1</v>
      </c>
    </row>
    <row r="158" spans="1:7" ht="13.8">
      <c r="A158" s="9" t="s">
        <v>600</v>
      </c>
      <c r="B158" s="6" t="s">
        <v>601</v>
      </c>
      <c r="C158" s="6" t="s">
        <v>602</v>
      </c>
      <c r="D158" s="6" t="s">
        <v>603</v>
      </c>
      <c r="E158" s="6" t="s">
        <v>604</v>
      </c>
      <c r="F158" s="7" t="s">
        <v>604</v>
      </c>
      <c r="G158" s="6">
        <v>122.7</v>
      </c>
    </row>
    <row r="159" spans="1:7" ht="13.8">
      <c r="A159" s="9" t="s">
        <v>605</v>
      </c>
      <c r="B159" s="6" t="s">
        <v>606</v>
      </c>
      <c r="C159" s="6" t="s">
        <v>606</v>
      </c>
      <c r="D159" s="6" t="s">
        <v>607</v>
      </c>
      <c r="E159" s="6" t="s">
        <v>608</v>
      </c>
      <c r="F159" s="7" t="s">
        <v>608</v>
      </c>
      <c r="G159" s="6">
        <v>212.4</v>
      </c>
    </row>
    <row r="160" spans="1:7" ht="13.8">
      <c r="A160" s="9" t="s">
        <v>609</v>
      </c>
      <c r="B160" s="6" t="s">
        <v>610</v>
      </c>
      <c r="C160" s="6" t="s">
        <v>611</v>
      </c>
      <c r="D160" s="6" t="s">
        <v>539</v>
      </c>
      <c r="E160" s="6" t="s">
        <v>612</v>
      </c>
      <c r="F160" s="7" t="s">
        <v>612</v>
      </c>
      <c r="G160" s="6">
        <v>228.2</v>
      </c>
    </row>
    <row r="161" spans="1:7" ht="13.8">
      <c r="A161" s="9" t="s">
        <v>613</v>
      </c>
      <c r="B161" s="6" t="s">
        <v>614</v>
      </c>
      <c r="C161" s="6" t="s">
        <v>615</v>
      </c>
      <c r="D161" s="6" t="s">
        <v>614</v>
      </c>
      <c r="E161" s="6" t="s">
        <v>616</v>
      </c>
      <c r="F161" s="7" t="s">
        <v>616</v>
      </c>
      <c r="G161" s="6">
        <v>151.6</v>
      </c>
    </row>
    <row r="162" spans="1:7" ht="13.8">
      <c r="A162" s="9" t="s">
        <v>617</v>
      </c>
      <c r="B162" s="6" t="s">
        <v>618</v>
      </c>
      <c r="C162" s="6" t="s">
        <v>619</v>
      </c>
      <c r="D162" s="6" t="s">
        <v>167</v>
      </c>
      <c r="E162" s="6" t="s">
        <v>618</v>
      </c>
      <c r="F162" s="7" t="s">
        <v>618</v>
      </c>
      <c r="G162" s="6">
        <v>108.8</v>
      </c>
    </row>
    <row r="163" spans="1:7" ht="13.8">
      <c r="A163" s="9" t="s">
        <v>620</v>
      </c>
      <c r="B163" s="6" t="s">
        <v>109</v>
      </c>
      <c r="C163" s="6" t="s">
        <v>621</v>
      </c>
      <c r="D163" s="6" t="s">
        <v>622</v>
      </c>
      <c r="E163" s="6" t="s">
        <v>623</v>
      </c>
      <c r="F163" s="7" t="s">
        <v>623</v>
      </c>
      <c r="G163" s="6">
        <v>117.1</v>
      </c>
    </row>
    <row r="164" spans="1:7" ht="13.8">
      <c r="A164" s="9" t="s">
        <v>624</v>
      </c>
      <c r="B164" s="6" t="s">
        <v>176</v>
      </c>
      <c r="C164" s="6" t="s">
        <v>147</v>
      </c>
      <c r="D164" s="6" t="s">
        <v>394</v>
      </c>
      <c r="E164" s="6" t="s">
        <v>625</v>
      </c>
      <c r="F164" s="7" t="s">
        <v>625</v>
      </c>
      <c r="G164" s="6">
        <v>112.8</v>
      </c>
    </row>
    <row r="165" spans="1:7" ht="13.8">
      <c r="A165" s="9" t="s">
        <v>626</v>
      </c>
      <c r="B165" s="6" t="s">
        <v>376</v>
      </c>
      <c r="C165" s="6" t="s">
        <v>473</v>
      </c>
      <c r="D165" s="6" t="s">
        <v>627</v>
      </c>
      <c r="E165" s="6" t="s">
        <v>628</v>
      </c>
      <c r="F165" s="7" t="s">
        <v>628</v>
      </c>
      <c r="G165" s="6">
        <v>107.8</v>
      </c>
    </row>
    <row r="166" spans="1:7" ht="13.8">
      <c r="A166" s="9" t="s">
        <v>629</v>
      </c>
      <c r="B166" s="6" t="s">
        <v>630</v>
      </c>
      <c r="C166" s="6" t="s">
        <v>385</v>
      </c>
      <c r="D166" s="6" t="s">
        <v>367</v>
      </c>
      <c r="E166" s="6" t="s">
        <v>183</v>
      </c>
      <c r="F166" s="7" t="s">
        <v>183</v>
      </c>
      <c r="G166" s="6">
        <v>93.5</v>
      </c>
    </row>
    <row r="167" spans="1:7" ht="13.8">
      <c r="A167" s="9" t="s">
        <v>631</v>
      </c>
      <c r="B167" s="6" t="s">
        <v>632</v>
      </c>
      <c r="C167" s="6" t="s">
        <v>632</v>
      </c>
      <c r="D167" s="6" t="s">
        <v>384</v>
      </c>
      <c r="E167" s="6" t="s">
        <v>633</v>
      </c>
      <c r="F167" s="7" t="s">
        <v>633</v>
      </c>
      <c r="G167" s="6">
        <v>108.2</v>
      </c>
    </row>
    <row r="168" spans="1:7" ht="13.8">
      <c r="A168" s="9" t="s">
        <v>634</v>
      </c>
      <c r="B168" s="6" t="s">
        <v>531</v>
      </c>
      <c r="C168" s="6" t="s">
        <v>635</v>
      </c>
      <c r="D168" s="6" t="s">
        <v>636</v>
      </c>
      <c r="E168" s="6" t="s">
        <v>637</v>
      </c>
      <c r="F168" s="7" t="s">
        <v>637</v>
      </c>
      <c r="G168" s="6">
        <v>110.1</v>
      </c>
    </row>
    <row r="169" spans="1:7" ht="13.8">
      <c r="A169" s="9" t="s">
        <v>638</v>
      </c>
      <c r="B169" s="6" t="s">
        <v>599</v>
      </c>
      <c r="C169" s="6" t="s">
        <v>639</v>
      </c>
      <c r="D169" s="6" t="s">
        <v>640</v>
      </c>
      <c r="E169" s="6" t="s">
        <v>641</v>
      </c>
      <c r="F169" s="7" t="s">
        <v>641</v>
      </c>
      <c r="G169" s="6">
        <v>159.9</v>
      </c>
    </row>
    <row r="170" spans="1:7" ht="13.8">
      <c r="A170" s="9" t="s">
        <v>642</v>
      </c>
      <c r="B170" s="6" t="s">
        <v>636</v>
      </c>
      <c r="C170" s="6" t="s">
        <v>643</v>
      </c>
      <c r="D170" s="6" t="s">
        <v>644</v>
      </c>
      <c r="E170" s="6" t="s">
        <v>645</v>
      </c>
      <c r="F170" s="7" t="s">
        <v>645</v>
      </c>
      <c r="G170" s="6">
        <v>86.1</v>
      </c>
    </row>
    <row r="171" spans="1:7" ht="13.8">
      <c r="A171" s="9" t="s">
        <v>646</v>
      </c>
      <c r="B171" s="6" t="s">
        <v>644</v>
      </c>
      <c r="C171" s="6" t="s">
        <v>647</v>
      </c>
      <c r="D171" s="6" t="s">
        <v>140</v>
      </c>
      <c r="E171" s="6" t="s">
        <v>648</v>
      </c>
      <c r="F171" s="7" t="s">
        <v>648</v>
      </c>
      <c r="G171" s="6">
        <v>126.9</v>
      </c>
    </row>
    <row r="172" spans="1:7" ht="13.8">
      <c r="A172" s="9" t="s">
        <v>649</v>
      </c>
      <c r="B172" s="6" t="s">
        <v>650</v>
      </c>
      <c r="C172" s="6" t="s">
        <v>108</v>
      </c>
      <c r="D172" s="6" t="s">
        <v>590</v>
      </c>
      <c r="E172" s="6" t="s">
        <v>651</v>
      </c>
      <c r="F172" s="7" t="s">
        <v>651</v>
      </c>
      <c r="G172" s="6">
        <v>109.5</v>
      </c>
    </row>
    <row r="173" spans="1:7" ht="13.8">
      <c r="A173" s="9" t="s">
        <v>652</v>
      </c>
      <c r="B173" s="6" t="s">
        <v>653</v>
      </c>
      <c r="C173" s="6" t="s">
        <v>654</v>
      </c>
      <c r="D173" s="6" t="s">
        <v>655</v>
      </c>
      <c r="E173" s="6" t="s">
        <v>656</v>
      </c>
      <c r="F173" s="7" t="s">
        <v>656</v>
      </c>
      <c r="G173" s="6">
        <v>66.5</v>
      </c>
    </row>
    <row r="174" spans="1:7" ht="13.8">
      <c r="A174" s="9" t="s">
        <v>657</v>
      </c>
      <c r="B174" s="6" t="s">
        <v>370</v>
      </c>
      <c r="C174" s="6" t="s">
        <v>658</v>
      </c>
      <c r="D174" s="6" t="s">
        <v>659</v>
      </c>
      <c r="E174" s="6" t="s">
        <v>660</v>
      </c>
      <c r="F174" s="7" t="s">
        <v>660</v>
      </c>
      <c r="G174" s="6">
        <v>181.3</v>
      </c>
    </row>
    <row r="175" spans="1:7" ht="13.8">
      <c r="A175" s="9" t="s">
        <v>661</v>
      </c>
      <c r="B175" s="6" t="s">
        <v>662</v>
      </c>
      <c r="C175" s="6" t="s">
        <v>663</v>
      </c>
      <c r="D175" s="6" t="s">
        <v>662</v>
      </c>
      <c r="E175" s="6" t="s">
        <v>140</v>
      </c>
      <c r="F175" s="7" t="s">
        <v>140</v>
      </c>
      <c r="G175" s="6">
        <v>230.4</v>
      </c>
    </row>
    <row r="176" spans="1:7" ht="13.8">
      <c r="A176" s="9" t="s">
        <v>664</v>
      </c>
      <c r="B176" s="6" t="s">
        <v>665</v>
      </c>
      <c r="C176" s="6" t="s">
        <v>665</v>
      </c>
      <c r="D176" s="6" t="s">
        <v>191</v>
      </c>
      <c r="E176" s="6" t="s">
        <v>499</v>
      </c>
      <c r="F176" s="7" t="s">
        <v>499</v>
      </c>
      <c r="G176" s="6">
        <v>161.5</v>
      </c>
    </row>
    <row r="177" spans="1:7" ht="13.8">
      <c r="A177" s="9" t="s">
        <v>666</v>
      </c>
      <c r="B177" s="6" t="s">
        <v>113</v>
      </c>
      <c r="C177" s="6" t="s">
        <v>133</v>
      </c>
      <c r="D177" s="6" t="s">
        <v>96</v>
      </c>
      <c r="E177" s="6" t="s">
        <v>667</v>
      </c>
      <c r="F177" s="7" t="s">
        <v>667</v>
      </c>
      <c r="G177" s="6">
        <v>292.5</v>
      </c>
    </row>
    <row r="178" spans="1:7" ht="13.8">
      <c r="A178" s="9" t="s">
        <v>668</v>
      </c>
      <c r="B178" s="6" t="s">
        <v>570</v>
      </c>
      <c r="C178" s="6" t="s">
        <v>182</v>
      </c>
      <c r="D178" s="6" t="s">
        <v>669</v>
      </c>
      <c r="E178" s="6" t="s">
        <v>75</v>
      </c>
      <c r="F178" s="7" t="s">
        <v>75</v>
      </c>
      <c r="G178" s="6">
        <v>116.7</v>
      </c>
    </row>
    <row r="179" spans="1:7" ht="13.8">
      <c r="A179" s="9" t="s">
        <v>670</v>
      </c>
      <c r="B179" s="6" t="s">
        <v>477</v>
      </c>
      <c r="C179" s="6" t="s">
        <v>671</v>
      </c>
      <c r="D179" s="6" t="s">
        <v>88</v>
      </c>
      <c r="E179" s="6" t="s">
        <v>672</v>
      </c>
      <c r="F179" s="7" t="s">
        <v>672</v>
      </c>
      <c r="G179" s="6">
        <v>127.3</v>
      </c>
    </row>
    <row r="180" spans="1:7" ht="13.8">
      <c r="A180" s="9" t="s">
        <v>673</v>
      </c>
      <c r="B180" s="6" t="s">
        <v>428</v>
      </c>
      <c r="C180" s="6" t="s">
        <v>674</v>
      </c>
      <c r="D180" s="6" t="s">
        <v>178</v>
      </c>
      <c r="E180" s="6" t="s">
        <v>505</v>
      </c>
      <c r="F180" s="7" t="s">
        <v>505</v>
      </c>
      <c r="G180" s="6">
        <v>95.6</v>
      </c>
    </row>
    <row r="181" spans="1:7" ht="13.8">
      <c r="A181" s="9" t="s">
        <v>675</v>
      </c>
      <c r="B181" s="6" t="s">
        <v>180</v>
      </c>
      <c r="C181" s="6" t="s">
        <v>676</v>
      </c>
      <c r="D181" s="6" t="s">
        <v>66</v>
      </c>
      <c r="E181" s="6" t="s">
        <v>445</v>
      </c>
      <c r="F181" s="7" t="s">
        <v>445</v>
      </c>
      <c r="G181" s="6">
        <v>95.7</v>
      </c>
    </row>
    <row r="182" spans="1:7" ht="13.8">
      <c r="A182" s="9" t="s">
        <v>677</v>
      </c>
      <c r="B182" s="6" t="s">
        <v>678</v>
      </c>
      <c r="C182" s="6" t="s">
        <v>678</v>
      </c>
      <c r="D182" s="6" t="s">
        <v>69</v>
      </c>
      <c r="E182" s="6" t="s">
        <v>679</v>
      </c>
      <c r="F182" s="7" t="s">
        <v>679</v>
      </c>
      <c r="G182" s="6">
        <v>191</v>
      </c>
    </row>
    <row r="183" spans="1:7" ht="13.8">
      <c r="A183" s="9" t="s">
        <v>680</v>
      </c>
      <c r="B183" s="6" t="s">
        <v>681</v>
      </c>
      <c r="C183" s="6" t="s">
        <v>682</v>
      </c>
      <c r="D183" s="6" t="s">
        <v>681</v>
      </c>
      <c r="E183" s="6" t="s">
        <v>683</v>
      </c>
      <c r="F183" s="7" t="s">
        <v>683</v>
      </c>
      <c r="G183" s="6">
        <v>90.6</v>
      </c>
    </row>
    <row r="184" spans="1:7" ht="13.8">
      <c r="A184" s="9" t="s">
        <v>684</v>
      </c>
      <c r="B184" s="6" t="s">
        <v>685</v>
      </c>
      <c r="C184" s="6" t="s">
        <v>686</v>
      </c>
      <c r="D184" s="6" t="s">
        <v>687</v>
      </c>
      <c r="E184" s="6" t="s">
        <v>688</v>
      </c>
      <c r="F184" s="7" t="s">
        <v>688</v>
      </c>
      <c r="G184" s="6">
        <v>89.8</v>
      </c>
    </row>
    <row r="185" spans="1:7" ht="13.8">
      <c r="A185" s="9" t="s">
        <v>689</v>
      </c>
      <c r="B185" s="6" t="s">
        <v>690</v>
      </c>
      <c r="C185" s="6" t="s">
        <v>127</v>
      </c>
      <c r="D185" s="6" t="s">
        <v>691</v>
      </c>
      <c r="E185" s="6" t="s">
        <v>692</v>
      </c>
      <c r="F185" s="7" t="s">
        <v>692</v>
      </c>
      <c r="G185" s="6">
        <v>121.4</v>
      </c>
    </row>
    <row r="186" spans="1:7" ht="13.8">
      <c r="A186" s="9" t="s">
        <v>693</v>
      </c>
      <c r="B186" s="6" t="s">
        <v>451</v>
      </c>
      <c r="C186" s="6" t="s">
        <v>694</v>
      </c>
      <c r="D186" s="6" t="s">
        <v>695</v>
      </c>
      <c r="E186" s="6">
        <v>46265</v>
      </c>
      <c r="F186" s="7">
        <v>46265</v>
      </c>
      <c r="G186" s="6">
        <v>153.9</v>
      </c>
    </row>
    <row r="187" spans="1:7" ht="13.8">
      <c r="A187" s="9" t="s">
        <v>696</v>
      </c>
      <c r="B187" s="6" t="s">
        <v>116</v>
      </c>
      <c r="C187" s="6" t="s">
        <v>697</v>
      </c>
      <c r="D187" s="6" t="s">
        <v>457</v>
      </c>
      <c r="E187" s="6" t="s">
        <v>61</v>
      </c>
      <c r="F187" s="7" t="s">
        <v>61</v>
      </c>
      <c r="G187" s="6">
        <v>111.1</v>
      </c>
    </row>
    <row r="188" spans="1:7" ht="13.8">
      <c r="A188" s="9" t="s">
        <v>698</v>
      </c>
      <c r="B188" s="6" t="s">
        <v>699</v>
      </c>
      <c r="C188" s="6" t="s">
        <v>384</v>
      </c>
      <c r="D188" s="6" t="s">
        <v>124</v>
      </c>
      <c r="E188" s="6" t="s">
        <v>142</v>
      </c>
      <c r="F188" s="7" t="s">
        <v>142</v>
      </c>
      <c r="G188" s="6">
        <v>314.2</v>
      </c>
    </row>
    <row r="189" spans="1:7" ht="13.8">
      <c r="A189" s="9" t="s">
        <v>700</v>
      </c>
      <c r="B189" s="6" t="s">
        <v>150</v>
      </c>
      <c r="C189" s="6" t="s">
        <v>701</v>
      </c>
      <c r="D189" s="6" t="s">
        <v>442</v>
      </c>
      <c r="E189" s="6" t="s">
        <v>614</v>
      </c>
      <c r="F189" s="7" t="s">
        <v>614</v>
      </c>
      <c r="G189" s="6">
        <v>154.5</v>
      </c>
    </row>
    <row r="190" spans="1:7" ht="13.8">
      <c r="A190" s="9" t="s">
        <v>702</v>
      </c>
      <c r="B190" s="6" t="s">
        <v>583</v>
      </c>
      <c r="C190" s="6" t="s">
        <v>477</v>
      </c>
      <c r="D190" s="6" t="s">
        <v>703</v>
      </c>
      <c r="E190" s="6" t="s">
        <v>480</v>
      </c>
      <c r="F190" s="7" t="s">
        <v>480</v>
      </c>
      <c r="G190" s="6">
        <v>101.1</v>
      </c>
    </row>
    <row r="191" spans="1:7" ht="13.8">
      <c r="A191" s="9" t="s">
        <v>704</v>
      </c>
      <c r="B191" s="6" t="s">
        <v>77</v>
      </c>
      <c r="C191" s="6" t="s">
        <v>459</v>
      </c>
      <c r="D191" s="6" t="s">
        <v>662</v>
      </c>
      <c r="E191" s="6" t="s">
        <v>705</v>
      </c>
      <c r="F191" s="7" t="s">
        <v>705</v>
      </c>
      <c r="G191" s="6">
        <v>98.9</v>
      </c>
    </row>
    <row r="192" spans="1:7" ht="13.8">
      <c r="A192" s="9" t="s">
        <v>706</v>
      </c>
      <c r="B192" s="6" t="s">
        <v>707</v>
      </c>
      <c r="C192" s="6" t="s">
        <v>65</v>
      </c>
      <c r="D192" s="6" t="s">
        <v>708</v>
      </c>
      <c r="E192" s="6" t="s">
        <v>687</v>
      </c>
      <c r="F192" s="7" t="s">
        <v>687</v>
      </c>
      <c r="G192" s="6">
        <v>126.1</v>
      </c>
    </row>
    <row r="193" spans="1:7" ht="13.8">
      <c r="A193" s="9" t="s">
        <v>709</v>
      </c>
      <c r="B193" s="6" t="s">
        <v>710</v>
      </c>
      <c r="C193" s="6" t="s">
        <v>496</v>
      </c>
      <c r="D193" s="6" t="s">
        <v>711</v>
      </c>
      <c r="E193" s="6" t="s">
        <v>712</v>
      </c>
      <c r="F193" s="7" t="s">
        <v>712</v>
      </c>
      <c r="G193" s="6">
        <v>151.6</v>
      </c>
    </row>
    <row r="194" spans="1:7" ht="13.8">
      <c r="A194" s="9" t="s">
        <v>713</v>
      </c>
      <c r="B194" s="6" t="s">
        <v>714</v>
      </c>
      <c r="C194" s="6" t="s">
        <v>232</v>
      </c>
      <c r="D194" s="6" t="s">
        <v>209</v>
      </c>
      <c r="E194" s="6" t="s">
        <v>53</v>
      </c>
      <c r="F194" s="7" t="s">
        <v>53</v>
      </c>
      <c r="G194" s="6">
        <v>171.3</v>
      </c>
    </row>
    <row r="195" spans="1:7" ht="13.8">
      <c r="A195" s="9" t="s">
        <v>715</v>
      </c>
      <c r="B195" s="6" t="s">
        <v>716</v>
      </c>
      <c r="C195" s="6" t="s">
        <v>716</v>
      </c>
      <c r="D195" s="6">
        <v>46051</v>
      </c>
      <c r="E195" s="6" t="s">
        <v>717</v>
      </c>
      <c r="F195" s="7" t="s">
        <v>717</v>
      </c>
      <c r="G195" s="6">
        <v>138.69999999999999</v>
      </c>
    </row>
    <row r="196" spans="1:7" ht="13.8">
      <c r="A196" s="9" t="s">
        <v>718</v>
      </c>
      <c r="B196" s="6">
        <v>46295</v>
      </c>
      <c r="C196" s="6" t="s">
        <v>192</v>
      </c>
      <c r="D196" s="6" t="s">
        <v>719</v>
      </c>
      <c r="E196" s="6" t="s">
        <v>416</v>
      </c>
      <c r="F196" s="7" t="s">
        <v>416</v>
      </c>
      <c r="G196" s="6">
        <v>149.19999999999999</v>
      </c>
    </row>
    <row r="197" spans="1:7" ht="13.8">
      <c r="A197" s="9" t="s">
        <v>720</v>
      </c>
      <c r="B197" s="6" t="s">
        <v>721</v>
      </c>
      <c r="C197" s="6" t="s">
        <v>722</v>
      </c>
      <c r="D197" s="6" t="s">
        <v>723</v>
      </c>
      <c r="E197" s="6" t="s">
        <v>416</v>
      </c>
      <c r="F197" s="7" t="s">
        <v>416</v>
      </c>
      <c r="G197" s="6">
        <v>106</v>
      </c>
    </row>
    <row r="198" spans="1:7" ht="13.8">
      <c r="A198" s="9" t="s">
        <v>724</v>
      </c>
      <c r="B198" s="6" t="s">
        <v>725</v>
      </c>
      <c r="C198" s="6" t="s">
        <v>195</v>
      </c>
      <c r="D198" s="6">
        <v>46233</v>
      </c>
      <c r="E198" s="6">
        <v>46356</v>
      </c>
      <c r="F198" s="7">
        <v>46356</v>
      </c>
      <c r="G198" s="6">
        <v>81.5</v>
      </c>
    </row>
    <row r="199" spans="1:7" ht="13.8">
      <c r="A199" s="9" t="s">
        <v>726</v>
      </c>
      <c r="B199" s="6" t="s">
        <v>223</v>
      </c>
      <c r="C199" s="6" t="s">
        <v>76</v>
      </c>
      <c r="D199" s="6" t="s">
        <v>223</v>
      </c>
      <c r="E199" s="6" t="s">
        <v>187</v>
      </c>
      <c r="F199" s="7" t="s">
        <v>187</v>
      </c>
      <c r="G199" s="6">
        <v>131</v>
      </c>
    </row>
    <row r="200" spans="1:7" ht="13.8">
      <c r="A200" s="9" t="s">
        <v>727</v>
      </c>
      <c r="B200" s="6">
        <v>46385</v>
      </c>
      <c r="C200" s="6" t="s">
        <v>728</v>
      </c>
      <c r="D200" s="6">
        <v>46141</v>
      </c>
      <c r="E200" s="6" t="s">
        <v>729</v>
      </c>
      <c r="F200" s="7" t="s">
        <v>729</v>
      </c>
      <c r="G200" s="6">
        <v>110.5</v>
      </c>
    </row>
    <row r="201" spans="1:7" ht="13.8">
      <c r="A201" s="9" t="s">
        <v>730</v>
      </c>
      <c r="B201" s="6">
        <v>46142</v>
      </c>
      <c r="C201" s="6" t="s">
        <v>731</v>
      </c>
      <c r="D201" s="6" t="s">
        <v>732</v>
      </c>
      <c r="E201" s="6">
        <v>46111</v>
      </c>
      <c r="F201" s="7">
        <v>46111</v>
      </c>
      <c r="G201" s="6">
        <v>100</v>
      </c>
    </row>
    <row r="202" spans="1:7" ht="13.8">
      <c r="A202" s="9" t="s">
        <v>733</v>
      </c>
      <c r="B202" s="6" t="s">
        <v>734</v>
      </c>
      <c r="C202" s="6" t="s">
        <v>734</v>
      </c>
      <c r="D202" s="6" t="s">
        <v>735</v>
      </c>
      <c r="E202" s="6">
        <v>46203</v>
      </c>
      <c r="F202" s="7">
        <v>46203</v>
      </c>
      <c r="G202" s="6">
        <v>187.5</v>
      </c>
    </row>
    <row r="203" spans="1:7" ht="13.8">
      <c r="A203" s="9" t="s">
        <v>736</v>
      </c>
      <c r="B203" s="6" t="s">
        <v>82</v>
      </c>
      <c r="C203" s="6" t="s">
        <v>435</v>
      </c>
      <c r="D203" s="6" t="s">
        <v>737</v>
      </c>
      <c r="E203" s="6" t="s">
        <v>457</v>
      </c>
      <c r="F203" s="7" t="s">
        <v>457</v>
      </c>
      <c r="G203" s="6">
        <v>118.6</v>
      </c>
    </row>
    <row r="204" spans="1:7" ht="13.8">
      <c r="A204" s="9" t="s">
        <v>738</v>
      </c>
      <c r="B204" s="6" t="s">
        <v>679</v>
      </c>
      <c r="C204" s="6" t="s">
        <v>184</v>
      </c>
      <c r="D204" s="6" t="s">
        <v>705</v>
      </c>
      <c r="E204" s="6" t="s">
        <v>457</v>
      </c>
      <c r="F204" s="7" t="s">
        <v>457</v>
      </c>
      <c r="G204" s="6">
        <v>110.5</v>
      </c>
    </row>
    <row r="205" spans="1:7" ht="13.8">
      <c r="A205" s="9" t="s">
        <v>739</v>
      </c>
      <c r="B205" s="6" t="s">
        <v>435</v>
      </c>
      <c r="C205" s="6" t="s">
        <v>142</v>
      </c>
      <c r="D205" s="6" t="s">
        <v>182</v>
      </c>
      <c r="E205" s="6" t="s">
        <v>740</v>
      </c>
      <c r="F205" s="7" t="s">
        <v>740</v>
      </c>
      <c r="G205" s="6">
        <v>153.19999999999999</v>
      </c>
    </row>
    <row r="206" spans="1:7" ht="13.8">
      <c r="A206" s="9" t="s">
        <v>741</v>
      </c>
      <c r="B206" s="6" t="s">
        <v>182</v>
      </c>
      <c r="C206" s="6" t="s">
        <v>742</v>
      </c>
      <c r="D206" s="6" t="s">
        <v>88</v>
      </c>
      <c r="E206" s="6" t="s">
        <v>503</v>
      </c>
      <c r="F206" s="7" t="s">
        <v>503</v>
      </c>
      <c r="G206" s="6">
        <v>118.1</v>
      </c>
    </row>
    <row r="207" spans="1:7" ht="13.8">
      <c r="A207" s="9" t="s">
        <v>743</v>
      </c>
      <c r="B207" s="6" t="s">
        <v>452</v>
      </c>
      <c r="C207" s="6" t="s">
        <v>387</v>
      </c>
      <c r="D207" s="6" t="s">
        <v>457</v>
      </c>
      <c r="E207" s="6" t="s">
        <v>744</v>
      </c>
      <c r="F207" s="7" t="s">
        <v>744</v>
      </c>
      <c r="G207" s="6">
        <v>151.4</v>
      </c>
    </row>
    <row r="208" spans="1:7" ht="13.8">
      <c r="A208" s="9" t="s">
        <v>745</v>
      </c>
      <c r="B208" s="6" t="s">
        <v>440</v>
      </c>
      <c r="C208" s="6" t="s">
        <v>577</v>
      </c>
      <c r="D208" s="6" t="s">
        <v>430</v>
      </c>
      <c r="E208" s="6" t="s">
        <v>124</v>
      </c>
      <c r="F208" s="7" t="s">
        <v>124</v>
      </c>
      <c r="G208" s="6">
        <v>164.8</v>
      </c>
    </row>
    <row r="209" spans="1:7" ht="13.8">
      <c r="A209" s="9" t="s">
        <v>746</v>
      </c>
      <c r="B209" s="6" t="s">
        <v>679</v>
      </c>
      <c r="C209" s="6" t="s">
        <v>491</v>
      </c>
      <c r="D209" s="6" t="s">
        <v>747</v>
      </c>
      <c r="E209" s="6" t="s">
        <v>477</v>
      </c>
      <c r="F209" s="7" t="s">
        <v>477</v>
      </c>
      <c r="G209" s="6">
        <v>289.5</v>
      </c>
    </row>
    <row r="210" spans="1:7" ht="13.8">
      <c r="A210" s="9" t="s">
        <v>748</v>
      </c>
      <c r="B210" s="6" t="s">
        <v>89</v>
      </c>
      <c r="C210" s="6" t="s">
        <v>89</v>
      </c>
      <c r="D210" s="6" t="s">
        <v>749</v>
      </c>
      <c r="E210" s="6" t="s">
        <v>233</v>
      </c>
      <c r="F210" s="7" t="s">
        <v>233</v>
      </c>
      <c r="G210" s="6">
        <v>208.5</v>
      </c>
    </row>
    <row r="211" spans="1:7" ht="13.8">
      <c r="A211" s="9" t="s">
        <v>750</v>
      </c>
      <c r="B211" s="6" t="s">
        <v>717</v>
      </c>
      <c r="C211" s="6" t="s">
        <v>751</v>
      </c>
      <c r="D211" s="6">
        <v>46354</v>
      </c>
      <c r="E211" s="6" t="s">
        <v>190</v>
      </c>
      <c r="F211" s="7" t="s">
        <v>190</v>
      </c>
      <c r="G211" s="6">
        <v>354.6</v>
      </c>
    </row>
    <row r="212" spans="1:7" ht="13.8">
      <c r="A212" s="9" t="s">
        <v>752</v>
      </c>
      <c r="B212" s="6" t="s">
        <v>256</v>
      </c>
      <c r="C212" s="6">
        <v>46356</v>
      </c>
      <c r="D212" s="6">
        <v>46355</v>
      </c>
      <c r="E212" s="6" t="s">
        <v>39</v>
      </c>
      <c r="F212" s="7" t="s">
        <v>39</v>
      </c>
      <c r="G212" s="6">
        <v>242.6</v>
      </c>
    </row>
    <row r="213" spans="1:7" ht="13.8">
      <c r="A213" s="9" t="s">
        <v>753</v>
      </c>
      <c r="B213" s="6" t="s">
        <v>266</v>
      </c>
      <c r="C213" s="6" t="s">
        <v>219</v>
      </c>
      <c r="D213" s="6" t="s">
        <v>290</v>
      </c>
      <c r="E213" s="6">
        <v>46355</v>
      </c>
      <c r="F213" s="7">
        <v>46355</v>
      </c>
      <c r="G213" s="6">
        <v>196.6</v>
      </c>
    </row>
    <row r="214" spans="1:7" ht="13.8">
      <c r="A214" s="9" t="s">
        <v>754</v>
      </c>
      <c r="B214" s="6" t="s">
        <v>198</v>
      </c>
      <c r="C214" s="6" t="s">
        <v>400</v>
      </c>
      <c r="D214" s="6" t="s">
        <v>249</v>
      </c>
      <c r="E214" s="6" t="s">
        <v>755</v>
      </c>
      <c r="F214" s="7" t="s">
        <v>755</v>
      </c>
      <c r="G214" s="6">
        <v>220</v>
      </c>
    </row>
    <row r="215" spans="1:7" ht="13.8">
      <c r="A215" s="9" t="s">
        <v>756</v>
      </c>
      <c r="B215" s="6" t="s">
        <v>757</v>
      </c>
      <c r="C215" s="6" t="s">
        <v>239</v>
      </c>
      <c r="D215" s="6">
        <v>46385</v>
      </c>
      <c r="E215" s="6" t="s">
        <v>758</v>
      </c>
      <c r="F215" s="7" t="s">
        <v>758</v>
      </c>
      <c r="G215" s="6">
        <v>187.2</v>
      </c>
    </row>
    <row r="216" spans="1:7" ht="13.8">
      <c r="A216" s="9" t="s">
        <v>759</v>
      </c>
      <c r="B216" s="6" t="s">
        <v>760</v>
      </c>
      <c r="C216" s="6" t="s">
        <v>234</v>
      </c>
      <c r="D216" s="6" t="s">
        <v>761</v>
      </c>
      <c r="E216" s="6">
        <v>46171</v>
      </c>
      <c r="F216" s="7">
        <v>46171</v>
      </c>
      <c r="G216" s="6">
        <v>274.5</v>
      </c>
    </row>
    <row r="217" spans="1:7" ht="13.8">
      <c r="A217" s="9" t="s">
        <v>762</v>
      </c>
      <c r="B217" s="6" t="s">
        <v>267</v>
      </c>
      <c r="C217" s="6" t="s">
        <v>265</v>
      </c>
      <c r="D217" s="6" t="s">
        <v>269</v>
      </c>
      <c r="E217" s="6" t="s">
        <v>272</v>
      </c>
      <c r="F217" s="7" t="s">
        <v>272</v>
      </c>
      <c r="G217" s="6">
        <v>292.10000000000002</v>
      </c>
    </row>
    <row r="218" spans="1:7" ht="13.8">
      <c r="A218" s="9" t="s">
        <v>763</v>
      </c>
      <c r="B218" s="6" t="s">
        <v>201</v>
      </c>
      <c r="C218" s="6">
        <v>46110</v>
      </c>
      <c r="D218" s="6" t="s">
        <v>417</v>
      </c>
      <c r="E218" s="6" t="s">
        <v>209</v>
      </c>
      <c r="F218" s="7" t="s">
        <v>209</v>
      </c>
      <c r="G218" s="6">
        <v>178.8</v>
      </c>
    </row>
    <row r="219" spans="1:7" ht="13.8">
      <c r="A219" s="9" t="s">
        <v>764</v>
      </c>
      <c r="B219" s="6" t="s">
        <v>244</v>
      </c>
      <c r="C219" s="6" t="s">
        <v>44</v>
      </c>
      <c r="D219" s="6" t="s">
        <v>283</v>
      </c>
      <c r="E219" s="6" t="s">
        <v>760</v>
      </c>
      <c r="F219" s="7" t="s">
        <v>760</v>
      </c>
      <c r="G219" s="6">
        <v>127.3</v>
      </c>
    </row>
    <row r="220" spans="1:7" ht="13.8">
      <c r="A220" s="9" t="s">
        <v>765</v>
      </c>
      <c r="B220" s="6" t="s">
        <v>766</v>
      </c>
      <c r="C220" s="6" t="s">
        <v>766</v>
      </c>
      <c r="D220" s="6">
        <v>46140</v>
      </c>
      <c r="E220" s="6" t="s">
        <v>245</v>
      </c>
      <c r="F220" s="7" t="s">
        <v>245</v>
      </c>
      <c r="G220" s="6">
        <v>159.80000000000001</v>
      </c>
    </row>
    <row r="221" spans="1:7" ht="13.8">
      <c r="A221" s="9" t="s">
        <v>767</v>
      </c>
      <c r="B221" s="6" t="s">
        <v>204</v>
      </c>
      <c r="C221" s="6" t="s">
        <v>298</v>
      </c>
      <c r="D221" s="6" t="s">
        <v>768</v>
      </c>
      <c r="E221" s="6" t="s">
        <v>769</v>
      </c>
      <c r="F221" s="7" t="s">
        <v>769</v>
      </c>
      <c r="G221" s="6">
        <v>145.19999999999999</v>
      </c>
    </row>
    <row r="222" spans="1:7" ht="13.8">
      <c r="A222" s="9" t="s">
        <v>770</v>
      </c>
      <c r="B222" s="6">
        <v>46141</v>
      </c>
      <c r="C222" s="6" t="s">
        <v>771</v>
      </c>
      <c r="D222" s="6">
        <v>46293</v>
      </c>
      <c r="E222" s="6" t="s">
        <v>772</v>
      </c>
      <c r="F222" s="7" t="s">
        <v>772</v>
      </c>
      <c r="G222" s="6">
        <v>267</v>
      </c>
    </row>
    <row r="223" spans="1:7" ht="13.8">
      <c r="A223" s="9" t="s">
        <v>773</v>
      </c>
      <c r="B223" s="6" t="s">
        <v>271</v>
      </c>
      <c r="C223" s="6" t="s">
        <v>774</v>
      </c>
      <c r="D223" s="6" t="s">
        <v>345</v>
      </c>
      <c r="E223" s="6" t="s">
        <v>775</v>
      </c>
      <c r="F223" s="7" t="s">
        <v>775</v>
      </c>
      <c r="G223" s="6">
        <v>183</v>
      </c>
    </row>
    <row r="224" spans="1:7" ht="13.8">
      <c r="A224" s="9" t="s">
        <v>776</v>
      </c>
      <c r="B224" s="6" t="s">
        <v>777</v>
      </c>
      <c r="C224" s="6" t="s">
        <v>778</v>
      </c>
      <c r="D224" s="6">
        <v>46321</v>
      </c>
      <c r="E224" s="6">
        <v>46383</v>
      </c>
      <c r="F224" s="7">
        <v>46383</v>
      </c>
      <c r="G224" s="6">
        <v>230.5</v>
      </c>
    </row>
    <row r="225" spans="1:7" ht="13.8">
      <c r="A225" s="9" t="s">
        <v>779</v>
      </c>
      <c r="B225" s="6">
        <v>46168</v>
      </c>
      <c r="C225" s="6" t="s">
        <v>23</v>
      </c>
      <c r="D225" s="6">
        <v>46168</v>
      </c>
      <c r="E225" s="6">
        <v>46049</v>
      </c>
      <c r="F225" s="7">
        <v>46049</v>
      </c>
      <c r="G225" s="6">
        <v>245.7</v>
      </c>
    </row>
    <row r="226" spans="1:7" ht="13.8">
      <c r="A226" s="9" t="s">
        <v>780</v>
      </c>
      <c r="B226" s="6" t="s">
        <v>781</v>
      </c>
      <c r="C226" s="6" t="s">
        <v>782</v>
      </c>
      <c r="D226" s="6" t="s">
        <v>15</v>
      </c>
      <c r="E226" s="6">
        <v>46352</v>
      </c>
      <c r="F226" s="7">
        <v>46352</v>
      </c>
      <c r="G226" s="6">
        <v>195.8</v>
      </c>
    </row>
    <row r="227" spans="1:7" ht="13.8">
      <c r="A227" s="9" t="s">
        <v>783</v>
      </c>
      <c r="B227" s="6" t="s">
        <v>784</v>
      </c>
      <c r="C227" s="6" t="s">
        <v>785</v>
      </c>
      <c r="D227" s="6" t="s">
        <v>19</v>
      </c>
      <c r="E227" s="6" t="s">
        <v>786</v>
      </c>
      <c r="F227" s="7" t="s">
        <v>786</v>
      </c>
      <c r="G227" s="6">
        <v>237</v>
      </c>
    </row>
    <row r="228" spans="1:7" ht="13.8">
      <c r="A228" s="9" t="s">
        <v>787</v>
      </c>
      <c r="B228" s="6" t="s">
        <v>788</v>
      </c>
      <c r="C228" s="6" t="s">
        <v>355</v>
      </c>
      <c r="D228" s="6" t="s">
        <v>789</v>
      </c>
      <c r="E228" s="6">
        <v>46139</v>
      </c>
      <c r="F228" s="7">
        <v>46139</v>
      </c>
      <c r="G228" s="6">
        <v>244.9</v>
      </c>
    </row>
    <row r="229" spans="1:7" ht="13.8">
      <c r="A229" s="9" t="s">
        <v>790</v>
      </c>
      <c r="B229" s="6" t="s">
        <v>351</v>
      </c>
      <c r="C229" s="6" t="s">
        <v>791</v>
      </c>
      <c r="D229" s="6" t="s">
        <v>792</v>
      </c>
      <c r="E229" s="6" t="s">
        <v>793</v>
      </c>
      <c r="F229" s="7" t="s">
        <v>793</v>
      </c>
      <c r="G229" s="6">
        <v>181.5</v>
      </c>
    </row>
    <row r="230" spans="1:7" ht="13.8">
      <c r="A230" s="9" t="s">
        <v>794</v>
      </c>
      <c r="B230" s="6" t="s">
        <v>21</v>
      </c>
      <c r="C230" s="6" t="s">
        <v>795</v>
      </c>
      <c r="D230" s="6" t="s">
        <v>792</v>
      </c>
      <c r="E230" s="6" t="s">
        <v>796</v>
      </c>
      <c r="F230" s="7" t="s">
        <v>796</v>
      </c>
      <c r="G230" s="6">
        <v>189.2</v>
      </c>
    </row>
    <row r="231" spans="1:7" ht="13.8">
      <c r="A231" s="9" t="s">
        <v>797</v>
      </c>
      <c r="B231" s="6" t="s">
        <v>798</v>
      </c>
      <c r="C231" s="6" t="s">
        <v>272</v>
      </c>
      <c r="D231" s="6" t="s">
        <v>799</v>
      </c>
      <c r="E231" s="6" t="s">
        <v>361</v>
      </c>
      <c r="F231" s="7" t="s">
        <v>361</v>
      </c>
      <c r="G231" s="6">
        <v>431.4</v>
      </c>
    </row>
    <row r="232" spans="1:7" ht="13.8">
      <c r="A232" s="9" t="s">
        <v>800</v>
      </c>
      <c r="B232" s="6" t="s">
        <v>801</v>
      </c>
      <c r="C232" s="6" t="s">
        <v>801</v>
      </c>
      <c r="D232" s="6" t="s">
        <v>802</v>
      </c>
      <c r="E232" s="6" t="s">
        <v>803</v>
      </c>
      <c r="F232" s="7" t="s">
        <v>803</v>
      </c>
      <c r="G232" s="6">
        <v>370.9</v>
      </c>
    </row>
    <row r="233" spans="1:7" ht="13.8">
      <c r="A233" s="9" t="s">
        <v>804</v>
      </c>
      <c r="B233" s="6" t="s">
        <v>805</v>
      </c>
      <c r="C233" s="6" t="s">
        <v>714</v>
      </c>
      <c r="D233" s="6" t="s">
        <v>806</v>
      </c>
      <c r="E233" s="6" t="s">
        <v>807</v>
      </c>
      <c r="F233" s="7" t="s">
        <v>807</v>
      </c>
      <c r="G233" s="6">
        <v>746.2</v>
      </c>
    </row>
    <row r="234" spans="1:7" ht="13.8">
      <c r="A234" s="9" t="s">
        <v>808</v>
      </c>
      <c r="B234" s="6" t="s">
        <v>809</v>
      </c>
      <c r="C234" s="6" t="s">
        <v>197</v>
      </c>
      <c r="D234" s="6" t="s">
        <v>792</v>
      </c>
      <c r="E234" s="6" t="s">
        <v>205</v>
      </c>
      <c r="F234" s="7" t="s">
        <v>205</v>
      </c>
      <c r="G234" s="6">
        <v>473.4</v>
      </c>
    </row>
    <row r="235" spans="1:7" ht="13.8">
      <c r="A235" s="9" t="s">
        <v>810</v>
      </c>
      <c r="B235" s="6" t="s">
        <v>811</v>
      </c>
      <c r="C235" s="6" t="s">
        <v>400</v>
      </c>
      <c r="D235" s="6" t="s">
        <v>204</v>
      </c>
      <c r="E235" s="6" t="s">
        <v>418</v>
      </c>
      <c r="F235" s="7" t="s">
        <v>418</v>
      </c>
      <c r="G235" s="6">
        <v>283.60000000000002</v>
      </c>
    </row>
    <row r="236" spans="1:7" ht="13.8">
      <c r="A236" s="9" t="s">
        <v>812</v>
      </c>
      <c r="B236" s="6" t="s">
        <v>423</v>
      </c>
      <c r="C236" s="6" t="s">
        <v>570</v>
      </c>
      <c r="D236" s="6" t="s">
        <v>423</v>
      </c>
      <c r="E236" s="6" t="s">
        <v>737</v>
      </c>
      <c r="F236" s="7" t="s">
        <v>737</v>
      </c>
      <c r="G236" s="6">
        <v>182.6</v>
      </c>
    </row>
    <row r="237" spans="1:7" ht="13.8">
      <c r="A237" s="9" t="s">
        <v>813</v>
      </c>
      <c r="B237" s="6" t="s">
        <v>231</v>
      </c>
      <c r="C237" s="6" t="s">
        <v>485</v>
      </c>
      <c r="D237" s="6" t="s">
        <v>253</v>
      </c>
      <c r="E237" s="6" t="s">
        <v>51</v>
      </c>
      <c r="F237" s="7" t="s">
        <v>51</v>
      </c>
      <c r="G237" s="6">
        <v>179.4</v>
      </c>
    </row>
    <row r="238" spans="1:7" ht="13.8">
      <c r="A238" s="9" t="s">
        <v>814</v>
      </c>
      <c r="B238" s="6" t="s">
        <v>815</v>
      </c>
      <c r="C238" s="6" t="s">
        <v>816</v>
      </c>
      <c r="D238" s="6" t="s">
        <v>220</v>
      </c>
      <c r="E238" s="6" t="s">
        <v>817</v>
      </c>
      <c r="F238" s="7" t="s">
        <v>817</v>
      </c>
      <c r="G238" s="6">
        <v>296.60000000000002</v>
      </c>
    </row>
    <row r="239" spans="1:7" ht="13.8">
      <c r="A239" s="9" t="s">
        <v>818</v>
      </c>
      <c r="B239" s="6" t="s">
        <v>708</v>
      </c>
      <c r="C239" s="6" t="s">
        <v>708</v>
      </c>
      <c r="D239" s="6">
        <v>46324</v>
      </c>
      <c r="E239" s="6" t="s">
        <v>729</v>
      </c>
      <c r="F239" s="7" t="s">
        <v>729</v>
      </c>
      <c r="G239" s="6">
        <v>153.1</v>
      </c>
    </row>
    <row r="240" spans="1:7" ht="13.8">
      <c r="A240" s="9" t="s">
        <v>819</v>
      </c>
      <c r="B240" s="6" t="s">
        <v>755</v>
      </c>
      <c r="C240" s="6" t="s">
        <v>232</v>
      </c>
      <c r="D240" s="6" t="s">
        <v>820</v>
      </c>
      <c r="E240" s="6" t="s">
        <v>821</v>
      </c>
      <c r="F240" s="7" t="s">
        <v>821</v>
      </c>
      <c r="G240" s="6">
        <v>143.1</v>
      </c>
    </row>
    <row r="241" spans="1:7" ht="13.8">
      <c r="A241" s="9" t="s">
        <v>822</v>
      </c>
      <c r="B241" s="6" t="s">
        <v>771</v>
      </c>
      <c r="C241" s="6">
        <v>46325</v>
      </c>
      <c r="D241" s="6" t="s">
        <v>823</v>
      </c>
      <c r="E241" s="6" t="s">
        <v>415</v>
      </c>
      <c r="F241" s="7" t="s">
        <v>415</v>
      </c>
      <c r="G241" s="6">
        <v>86</v>
      </c>
    </row>
    <row r="242" spans="1:7" ht="13.8">
      <c r="A242" s="9" t="s">
        <v>824</v>
      </c>
      <c r="B242" s="6" t="s">
        <v>825</v>
      </c>
      <c r="C242" s="6" t="s">
        <v>405</v>
      </c>
      <c r="D242" s="6" t="s">
        <v>826</v>
      </c>
      <c r="E242" s="6" t="s">
        <v>249</v>
      </c>
      <c r="F242" s="7" t="s">
        <v>249</v>
      </c>
      <c r="G242" s="6">
        <v>165.7</v>
      </c>
    </row>
    <row r="243" spans="1:7" ht="13.8">
      <c r="A243" s="9" t="s">
        <v>827</v>
      </c>
      <c r="B243" s="6">
        <v>46325</v>
      </c>
      <c r="C243" s="6" t="s">
        <v>76</v>
      </c>
      <c r="D243" s="6">
        <v>46052</v>
      </c>
      <c r="E243" s="6" t="s">
        <v>828</v>
      </c>
      <c r="F243" s="7" t="s">
        <v>828</v>
      </c>
      <c r="G243" s="6">
        <v>158.80000000000001</v>
      </c>
    </row>
    <row r="244" spans="1:7" ht="13.8">
      <c r="A244" s="9" t="s">
        <v>829</v>
      </c>
      <c r="B244" s="6" t="s">
        <v>188</v>
      </c>
      <c r="C244" s="6" t="s">
        <v>188</v>
      </c>
      <c r="D244" s="6" t="s">
        <v>830</v>
      </c>
      <c r="E244" s="6" t="s">
        <v>831</v>
      </c>
      <c r="F244" s="7" t="s">
        <v>831</v>
      </c>
      <c r="G244" s="6">
        <v>325.7</v>
      </c>
    </row>
    <row r="245" spans="1:7" ht="13.8">
      <c r="A245" s="9" t="s">
        <v>832</v>
      </c>
      <c r="B245" s="6" t="s">
        <v>833</v>
      </c>
      <c r="C245" s="6" t="s">
        <v>402</v>
      </c>
      <c r="D245" s="6" t="s">
        <v>833</v>
      </c>
      <c r="E245" s="6" t="s">
        <v>426</v>
      </c>
      <c r="F245" s="7" t="s">
        <v>426</v>
      </c>
      <c r="G245" s="6">
        <v>202</v>
      </c>
    </row>
    <row r="246" spans="1:7" ht="13.8">
      <c r="A246" s="9" t="s">
        <v>834</v>
      </c>
      <c r="B246" s="6" t="s">
        <v>53</v>
      </c>
      <c r="C246" s="6">
        <v>46234</v>
      </c>
      <c r="D246" s="6" t="s">
        <v>239</v>
      </c>
      <c r="E246" s="6" t="s">
        <v>711</v>
      </c>
      <c r="F246" s="7" t="s">
        <v>711</v>
      </c>
      <c r="G246" s="6">
        <v>204.2</v>
      </c>
    </row>
    <row r="247" spans="1:7" ht="13.8">
      <c r="A247" s="9" t="s">
        <v>835</v>
      </c>
      <c r="B247" s="6" t="s">
        <v>688</v>
      </c>
      <c r="C247" s="6" t="s">
        <v>688</v>
      </c>
      <c r="D247" s="6" t="s">
        <v>97</v>
      </c>
      <c r="E247" s="6" t="s">
        <v>410</v>
      </c>
      <c r="F247" s="7" t="s">
        <v>410</v>
      </c>
      <c r="G247" s="6">
        <v>86.1</v>
      </c>
    </row>
    <row r="248" spans="1:7" ht="13.8">
      <c r="A248" s="9" t="s">
        <v>836</v>
      </c>
      <c r="B248" s="6" t="s">
        <v>120</v>
      </c>
      <c r="C248" s="6" t="s">
        <v>622</v>
      </c>
      <c r="D248" s="6" t="s">
        <v>405</v>
      </c>
      <c r="E248" s="6" t="s">
        <v>688</v>
      </c>
      <c r="F248" s="7" t="s">
        <v>688</v>
      </c>
      <c r="G248" s="6">
        <v>142.4</v>
      </c>
    </row>
    <row r="249" spans="1:7" ht="13.8">
      <c r="A249" s="9" t="s">
        <v>837</v>
      </c>
      <c r="B249" s="6" t="s">
        <v>87</v>
      </c>
      <c r="C249" s="6" t="s">
        <v>669</v>
      </c>
      <c r="D249" s="6" t="s">
        <v>396</v>
      </c>
      <c r="E249" s="6" t="s">
        <v>838</v>
      </c>
      <c r="F249" s="7" t="s">
        <v>838</v>
      </c>
      <c r="G249" s="6">
        <v>134</v>
      </c>
    </row>
    <row r="250" spans="1:7" ht="13.8">
      <c r="A250" s="9" t="s">
        <v>839</v>
      </c>
      <c r="B250" s="6" t="s">
        <v>840</v>
      </c>
      <c r="C250" s="6" t="s">
        <v>66</v>
      </c>
      <c r="D250" s="6" t="s">
        <v>841</v>
      </c>
      <c r="E250" s="6" t="s">
        <v>708</v>
      </c>
      <c r="F250" s="7" t="s">
        <v>708</v>
      </c>
      <c r="G250" s="6">
        <v>193.5</v>
      </c>
    </row>
    <row r="251" spans="1:7" ht="13.8">
      <c r="A251" s="9" t="s">
        <v>842</v>
      </c>
      <c r="B251" s="6" t="s">
        <v>88</v>
      </c>
      <c r="C251" s="6" t="s">
        <v>442</v>
      </c>
      <c r="D251" s="6" t="s">
        <v>843</v>
      </c>
      <c r="E251" s="6" t="s">
        <v>844</v>
      </c>
      <c r="F251" s="7" t="s">
        <v>844</v>
      </c>
      <c r="G251" s="6">
        <v>181.6</v>
      </c>
    </row>
    <row r="252" spans="1:7" ht="13.8">
      <c r="A252" s="9" t="s">
        <v>845</v>
      </c>
      <c r="B252" s="6" t="s">
        <v>116</v>
      </c>
      <c r="C252" s="6" t="s">
        <v>116</v>
      </c>
      <c r="D252" s="6" t="s">
        <v>410</v>
      </c>
      <c r="E252" s="6" t="s">
        <v>838</v>
      </c>
      <c r="F252" s="7" t="s">
        <v>838</v>
      </c>
      <c r="G252" s="6">
        <v>141.4</v>
      </c>
    </row>
    <row r="253" spans="1:7" ht="13.8">
      <c r="A253" s="9" t="s">
        <v>846</v>
      </c>
      <c r="B253" s="6" t="s">
        <v>128</v>
      </c>
      <c r="C253" s="6" t="s">
        <v>847</v>
      </c>
      <c r="D253" s="6" t="s">
        <v>682</v>
      </c>
      <c r="E253" s="6" t="s">
        <v>848</v>
      </c>
      <c r="F253" s="7" t="s">
        <v>848</v>
      </c>
      <c r="G253" s="6">
        <v>109.2</v>
      </c>
    </row>
    <row r="254" spans="1:7" ht="22.8" hidden="1">
      <c r="A254" s="10"/>
      <c r="B254" s="11"/>
      <c r="C254" s="11"/>
      <c r="D254" s="11"/>
      <c r="E254" s="11"/>
      <c r="F254" s="12"/>
      <c r="G254" s="11"/>
    </row>
    <row r="255" spans="1:7" ht="13.2" hidden="1">
      <c r="A255" s="13"/>
      <c r="B255" s="11"/>
      <c r="C255" s="11"/>
      <c r="D255" s="11"/>
      <c r="E255" s="11"/>
      <c r="F255" s="12"/>
      <c r="G255" s="11"/>
    </row>
    <row r="256" spans="1:7" ht="13.8" hidden="1">
      <c r="A256" s="14"/>
      <c r="B256" s="11"/>
      <c r="C256" s="11"/>
      <c r="D256" s="11"/>
      <c r="E256" s="11"/>
      <c r="F256" s="12"/>
      <c r="G256" s="11"/>
    </row>
    <row r="257" spans="1:7" ht="13.8" hidden="1">
      <c r="A257" s="14"/>
      <c r="B257" s="11"/>
      <c r="C257" s="11"/>
      <c r="D257" s="11"/>
      <c r="E257" s="11"/>
      <c r="F257" s="12"/>
      <c r="G257" s="11"/>
    </row>
    <row r="258" spans="1:7" ht="13.8" hidden="1">
      <c r="A258" s="14"/>
      <c r="B258" s="11"/>
      <c r="C258" s="11"/>
      <c r="D258" s="11"/>
      <c r="E258" s="11"/>
      <c r="F258" s="12"/>
      <c r="G258" s="11"/>
    </row>
    <row r="259" spans="1:7" ht="13.2" hidden="1">
      <c r="A259" s="13"/>
      <c r="B259" s="11"/>
      <c r="C259" s="11"/>
      <c r="D259" s="11"/>
      <c r="E259" s="11"/>
      <c r="F259" s="12"/>
      <c r="G259" s="11"/>
    </row>
    <row r="260" spans="1:7" ht="13.8" hidden="1">
      <c r="A260" s="14"/>
      <c r="B260" s="11"/>
      <c r="C260" s="11"/>
      <c r="D260" s="11"/>
      <c r="E260" s="11"/>
      <c r="F260" s="12"/>
      <c r="G260" s="11"/>
    </row>
    <row r="261" spans="1:7" ht="13.8" hidden="1">
      <c r="A261" s="14"/>
      <c r="B261" s="11"/>
      <c r="C261" s="11"/>
      <c r="D261" s="11"/>
      <c r="E261" s="11"/>
      <c r="F261" s="12"/>
      <c r="G261" s="11"/>
    </row>
    <row r="262" spans="1:7" ht="13.8" hidden="1">
      <c r="A262" s="14"/>
      <c r="B262" s="11"/>
      <c r="C262" s="11"/>
      <c r="D262" s="11"/>
      <c r="E262" s="11"/>
      <c r="F262" s="12"/>
      <c r="G262" s="11"/>
    </row>
    <row r="263" spans="1:7" ht="13.2" hidden="1">
      <c r="A263" s="13"/>
      <c r="B263" s="11"/>
      <c r="C263" s="11"/>
      <c r="D263" s="11"/>
      <c r="E263" s="11"/>
      <c r="F263" s="12"/>
      <c r="G263" s="11"/>
    </row>
    <row r="264" spans="1:7" ht="13.8" hidden="1">
      <c r="A264" s="14"/>
      <c r="B264" s="11"/>
      <c r="C264" s="11"/>
      <c r="D264" s="11"/>
      <c r="E264" s="11"/>
      <c r="F264" s="12"/>
      <c r="G264" s="11"/>
    </row>
    <row r="265" spans="1:7" ht="13.8" hidden="1">
      <c r="A265" s="14"/>
      <c r="B265" s="11"/>
      <c r="C265" s="11"/>
      <c r="D265" s="11"/>
      <c r="E265" s="11"/>
      <c r="F265" s="12"/>
      <c r="G265" s="11"/>
    </row>
    <row r="266" spans="1:7" ht="13.8" hidden="1">
      <c r="A266" s="14"/>
      <c r="B266" s="11"/>
      <c r="C266" s="11"/>
      <c r="D266" s="11"/>
      <c r="E266" s="11"/>
      <c r="F266" s="12"/>
      <c r="G266" s="11"/>
    </row>
    <row r="267" spans="1:7" ht="13.2" hidden="1">
      <c r="A267" s="13"/>
      <c r="B267" s="11"/>
      <c r="C267" s="11"/>
      <c r="D267" s="11"/>
      <c r="E267" s="11"/>
      <c r="F267" s="12"/>
      <c r="G267" s="11"/>
    </row>
    <row r="268" spans="1:7" ht="13.8" hidden="1">
      <c r="A268" s="14"/>
      <c r="B268" s="11"/>
      <c r="C268" s="11"/>
      <c r="D268" s="11"/>
      <c r="E268" s="11"/>
      <c r="F268" s="12"/>
      <c r="G268" s="11"/>
    </row>
    <row r="269" spans="1:7" ht="13.8" hidden="1">
      <c r="A269" s="14"/>
      <c r="B269" s="11"/>
      <c r="C269" s="11"/>
      <c r="D269" s="11"/>
      <c r="E269" s="11"/>
      <c r="F269" s="12"/>
      <c r="G269" s="11"/>
    </row>
    <row r="270" spans="1:7" ht="13.8" hidden="1">
      <c r="A270" s="14"/>
      <c r="B270" s="11"/>
      <c r="C270" s="11"/>
      <c r="D270" s="11"/>
      <c r="E270" s="11"/>
      <c r="F270" s="12"/>
      <c r="G270" s="11"/>
    </row>
    <row r="271" spans="1:7" ht="13.2" hidden="1">
      <c r="A271" s="13"/>
      <c r="B271" s="11"/>
      <c r="C271" s="11"/>
      <c r="D271" s="11"/>
      <c r="E271" s="11"/>
      <c r="F271" s="12"/>
      <c r="G271" s="11"/>
    </row>
    <row r="272" spans="1:7" ht="13.8" hidden="1">
      <c r="A272" s="14"/>
      <c r="B272" s="11"/>
      <c r="C272" s="11"/>
      <c r="D272" s="11"/>
      <c r="E272" s="11"/>
      <c r="F272" s="12"/>
      <c r="G272" s="11"/>
    </row>
    <row r="273" spans="1:7" ht="13.8" hidden="1">
      <c r="A273" s="14"/>
      <c r="B273" s="11"/>
      <c r="C273" s="11"/>
      <c r="D273" s="11"/>
      <c r="E273" s="11"/>
      <c r="F273" s="12"/>
      <c r="G273" s="11"/>
    </row>
    <row r="274" spans="1:7" ht="13.8" hidden="1">
      <c r="A274" s="14"/>
      <c r="B274" s="11"/>
      <c r="C274" s="11"/>
      <c r="D274" s="11"/>
      <c r="E274" s="11"/>
      <c r="F274" s="12"/>
      <c r="G274" s="11"/>
    </row>
    <row r="275" spans="1:7" ht="13.2" hidden="1">
      <c r="A275" s="13"/>
      <c r="B275" s="11"/>
      <c r="C275" s="11"/>
      <c r="D275" s="11"/>
      <c r="E275" s="11"/>
      <c r="F275" s="12"/>
      <c r="G275" s="11"/>
    </row>
    <row r="276" spans="1:7" ht="13.8" hidden="1">
      <c r="A276" s="14"/>
      <c r="B276" s="11"/>
      <c r="C276" s="11"/>
      <c r="D276" s="11"/>
      <c r="E276" s="11"/>
      <c r="F276" s="12"/>
      <c r="G276" s="11"/>
    </row>
    <row r="277" spans="1:7" ht="13.8" hidden="1">
      <c r="A277" s="14"/>
      <c r="B277" s="11"/>
      <c r="C277" s="11"/>
      <c r="D277" s="11"/>
      <c r="E277" s="11"/>
      <c r="F277" s="12"/>
      <c r="G277" s="11"/>
    </row>
    <row r="278" spans="1:7" ht="13.8" hidden="1">
      <c r="A278" s="14"/>
      <c r="B278" s="11"/>
      <c r="C278" s="11"/>
      <c r="D278" s="11"/>
      <c r="E278" s="11"/>
      <c r="F278" s="12"/>
      <c r="G278" s="11"/>
    </row>
    <row r="279" spans="1:7" ht="13.2" hidden="1">
      <c r="A279" s="13"/>
      <c r="B279" s="11"/>
      <c r="C279" s="11"/>
      <c r="D279" s="11"/>
      <c r="E279" s="11"/>
      <c r="F279" s="12"/>
      <c r="G279" s="11"/>
    </row>
    <row r="280" spans="1:7" ht="13.8" hidden="1">
      <c r="A280" s="14"/>
      <c r="B280" s="11"/>
      <c r="C280" s="11"/>
      <c r="D280" s="11"/>
      <c r="E280" s="11"/>
      <c r="F280" s="12"/>
      <c r="G280" s="11"/>
    </row>
    <row r="281" spans="1:7" ht="13.8" hidden="1">
      <c r="A281" s="14"/>
      <c r="B281" s="11"/>
      <c r="C281" s="11"/>
      <c r="D281" s="11"/>
      <c r="E281" s="11"/>
      <c r="F281" s="12"/>
      <c r="G281" s="11"/>
    </row>
    <row r="282" spans="1:7" ht="13.8" hidden="1">
      <c r="A282" s="14"/>
      <c r="B282" s="11"/>
      <c r="C282" s="11"/>
      <c r="D282" s="11"/>
      <c r="E282" s="11"/>
      <c r="F282" s="12"/>
      <c r="G282" s="11"/>
    </row>
    <row r="283" spans="1:7" ht="13.2" hidden="1">
      <c r="A283" s="13"/>
      <c r="B283" s="11"/>
      <c r="C283" s="11"/>
      <c r="D283" s="11"/>
      <c r="E283" s="11"/>
      <c r="F283" s="12"/>
      <c r="G283" s="11"/>
    </row>
    <row r="284" spans="1:7" ht="13.8" hidden="1">
      <c r="A284" s="15"/>
      <c r="B284" s="11"/>
      <c r="C284" s="11"/>
      <c r="D284" s="11"/>
      <c r="E284" s="11"/>
      <c r="F284" s="12"/>
      <c r="G284" s="11"/>
    </row>
    <row r="285" spans="1:7" ht="13.8" hidden="1">
      <c r="A285" s="14"/>
      <c r="B285" s="11"/>
      <c r="C285" s="11"/>
      <c r="D285" s="11"/>
      <c r="E285" s="11"/>
      <c r="F285" s="12"/>
      <c r="G285" s="11"/>
    </row>
    <row r="286" spans="1:7" ht="13.8" hidden="1">
      <c r="A286" s="14"/>
      <c r="B286" s="11"/>
      <c r="C286" s="11"/>
      <c r="D286" s="11"/>
      <c r="E286" s="11"/>
      <c r="F286" s="12"/>
      <c r="G286" s="11"/>
    </row>
    <row r="287" spans="1:7" ht="13.2" hidden="1">
      <c r="A287" s="13"/>
      <c r="B287" s="11"/>
      <c r="C287" s="11"/>
      <c r="D287" s="11"/>
      <c r="E287" s="11"/>
      <c r="F287" s="12"/>
      <c r="G287" s="11"/>
    </row>
    <row r="288" spans="1:7" ht="13.8" hidden="1">
      <c r="A288" s="14"/>
      <c r="B288" s="11"/>
      <c r="C288" s="11"/>
      <c r="D288" s="11"/>
      <c r="E288" s="11"/>
      <c r="F288" s="12"/>
      <c r="G288" s="11"/>
    </row>
    <row r="289" spans="1:7" ht="13.8" hidden="1">
      <c r="A289" s="14"/>
      <c r="B289" s="11"/>
      <c r="C289" s="11"/>
      <c r="D289" s="11"/>
      <c r="E289" s="11"/>
      <c r="F289" s="12"/>
      <c r="G289" s="11"/>
    </row>
    <row r="290" spans="1:7" ht="13.8" hidden="1">
      <c r="A290" s="14"/>
      <c r="B290" s="11"/>
      <c r="C290" s="11"/>
      <c r="D290" s="11"/>
      <c r="E290" s="11"/>
      <c r="F290" s="12"/>
      <c r="G290" s="11"/>
    </row>
    <row r="291" spans="1:7" ht="13.2" hidden="1">
      <c r="A291" s="13"/>
      <c r="B291" s="11"/>
      <c r="C291" s="11"/>
      <c r="D291" s="11"/>
      <c r="E291" s="11"/>
      <c r="F291" s="12"/>
      <c r="G291" s="11"/>
    </row>
    <row r="292" spans="1:7" ht="13.8" hidden="1">
      <c r="A292" s="14"/>
      <c r="B292" s="11"/>
      <c r="C292" s="11"/>
      <c r="D292" s="11"/>
      <c r="E292" s="11"/>
      <c r="F292" s="12"/>
      <c r="G292" s="11"/>
    </row>
    <row r="293" spans="1:7" ht="13.8" hidden="1">
      <c r="A293" s="14"/>
      <c r="B293" s="11"/>
      <c r="C293" s="11"/>
      <c r="D293" s="11"/>
      <c r="E293" s="11"/>
      <c r="F293" s="12"/>
      <c r="G293" s="11"/>
    </row>
    <row r="294" spans="1:7" ht="13.8" hidden="1">
      <c r="A294" s="14"/>
      <c r="B294" s="11"/>
      <c r="C294" s="11"/>
      <c r="D294" s="11"/>
      <c r="E294" s="11"/>
      <c r="F294" s="12"/>
      <c r="G294" s="11"/>
    </row>
    <row r="295" spans="1:7" ht="13.2" hidden="1">
      <c r="A295" s="16"/>
      <c r="B295" s="11"/>
      <c r="C295" s="11"/>
      <c r="D295" s="11"/>
      <c r="E295" s="11"/>
      <c r="F295" s="12"/>
      <c r="G295" s="11"/>
    </row>
    <row r="296" spans="1:7" ht="22.8" hidden="1">
      <c r="A296" s="17"/>
      <c r="B296" s="11"/>
      <c r="C296" s="11"/>
      <c r="D296" s="11"/>
      <c r="E296" s="11"/>
      <c r="F296" s="12"/>
      <c r="G296" s="11"/>
    </row>
    <row r="297" spans="1:7" ht="22.8" hidden="1">
      <c r="A297" s="17"/>
      <c r="B297" s="11"/>
      <c r="C297" s="11"/>
      <c r="D297" s="11"/>
      <c r="E297" s="11"/>
      <c r="F297" s="12"/>
      <c r="G297" s="11"/>
    </row>
    <row r="298" spans="1:7" ht="22.8" hidden="1">
      <c r="A298" s="17"/>
      <c r="B298" s="11"/>
      <c r="C298" s="11"/>
      <c r="D298" s="11"/>
      <c r="E298" s="11"/>
      <c r="F298" s="12"/>
      <c r="G298" s="11"/>
    </row>
    <row r="299" spans="1:7" ht="22.8" hidden="1">
      <c r="A299" s="17"/>
      <c r="B299" s="11"/>
      <c r="C299" s="11"/>
      <c r="D299" s="11"/>
      <c r="E299" s="11"/>
      <c r="F299" s="12"/>
      <c r="G299" s="11"/>
    </row>
    <row r="300" spans="1:7" ht="22.8" hidden="1">
      <c r="A300" s="17"/>
      <c r="B300" s="11"/>
      <c r="C300" s="11"/>
      <c r="D300" s="11"/>
      <c r="E300" s="11"/>
      <c r="F300" s="12"/>
      <c r="G300" s="11"/>
    </row>
    <row r="301" spans="1:7" ht="13.2" hidden="1">
      <c r="A301" s="18"/>
      <c r="B301" s="11"/>
      <c r="C301" s="11"/>
      <c r="D301" s="11"/>
      <c r="E301" s="11"/>
      <c r="F301" s="12"/>
      <c r="G301" s="11"/>
    </row>
    <row r="302" spans="1:7" ht="13.2" hidden="1">
      <c r="A302" s="18"/>
      <c r="B302" s="11"/>
      <c r="C302" s="11"/>
      <c r="D302" s="11"/>
      <c r="E302" s="11"/>
      <c r="F302" s="12"/>
      <c r="G302" s="11"/>
    </row>
    <row r="303" spans="1:7" ht="13.2" hidden="1">
      <c r="A303" s="11"/>
      <c r="B303" s="11"/>
      <c r="C303" s="11"/>
      <c r="D303" s="11"/>
      <c r="E303" s="11"/>
      <c r="F303" s="12"/>
      <c r="G303" s="11"/>
    </row>
    <row r="304" spans="1:7" ht="13.2" hidden="1">
      <c r="A304" s="11"/>
      <c r="B304" s="11"/>
      <c r="C304" s="11"/>
      <c r="D304" s="11"/>
      <c r="E304" s="11"/>
      <c r="F304" s="12"/>
      <c r="G304" s="11"/>
    </row>
    <row r="305" spans="1:7" ht="13.2" hidden="1">
      <c r="A305" s="11"/>
      <c r="B305" s="11"/>
      <c r="C305" s="11"/>
      <c r="D305" s="11"/>
      <c r="E305" s="11"/>
      <c r="F305" s="12"/>
      <c r="G305" s="11"/>
    </row>
    <row r="306" spans="1:7" ht="13.2" hidden="1">
      <c r="A306" s="11"/>
      <c r="B306" s="11"/>
      <c r="C306" s="11"/>
      <c r="D306" s="11"/>
      <c r="E306" s="11"/>
      <c r="F306" s="12"/>
      <c r="G306" s="11"/>
    </row>
    <row r="307" spans="1:7" ht="13.2" hidden="1">
      <c r="A307" s="11"/>
      <c r="B307" s="11"/>
      <c r="C307" s="11"/>
      <c r="D307" s="11"/>
      <c r="E307" s="11"/>
      <c r="F307" s="12"/>
      <c r="G307" s="11"/>
    </row>
    <row r="308" spans="1:7" ht="13.2" hidden="1">
      <c r="A308" s="11"/>
      <c r="B308" s="11"/>
      <c r="C308" s="11"/>
      <c r="D308" s="11"/>
      <c r="E308" s="11"/>
      <c r="F308" s="12"/>
      <c r="G308" s="11"/>
    </row>
    <row r="309" spans="1:7" ht="13.2" hidden="1">
      <c r="A309" s="11"/>
      <c r="B309" s="11"/>
      <c r="C309" s="11"/>
      <c r="D309" s="11"/>
      <c r="E309" s="11"/>
      <c r="F309" s="12"/>
      <c r="G309" s="11"/>
    </row>
    <row r="310" spans="1:7" ht="13.2" hidden="1">
      <c r="A310" s="11"/>
      <c r="B310" s="11"/>
      <c r="C310" s="11"/>
      <c r="D310" s="11"/>
      <c r="E310" s="11"/>
      <c r="F310" s="12"/>
      <c r="G310" s="11"/>
    </row>
    <row r="311" spans="1:7" ht="13.2" hidden="1">
      <c r="A311" s="11"/>
      <c r="B311" s="11"/>
      <c r="C311" s="11"/>
      <c r="D311" s="11"/>
      <c r="E311" s="11"/>
      <c r="F311" s="12"/>
      <c r="G311" s="11"/>
    </row>
    <row r="312" spans="1:7" ht="13.2" hidden="1">
      <c r="A312" s="11"/>
      <c r="B312" s="11"/>
      <c r="C312" s="11"/>
      <c r="D312" s="11"/>
      <c r="E312" s="11"/>
      <c r="F312" s="12"/>
      <c r="G312" s="11"/>
    </row>
    <row r="313" spans="1:7" ht="13.2" hidden="1">
      <c r="A313" s="11"/>
      <c r="B313" s="11"/>
      <c r="C313" s="11"/>
      <c r="D313" s="11"/>
      <c r="E313" s="11"/>
      <c r="F313" s="12"/>
      <c r="G313" s="11"/>
    </row>
    <row r="314" spans="1:7" ht="13.2" hidden="1">
      <c r="A314" s="11"/>
      <c r="B314" s="11"/>
      <c r="C314" s="11"/>
      <c r="D314" s="11"/>
      <c r="E314" s="11"/>
      <c r="F314" s="12"/>
      <c r="G314" s="11"/>
    </row>
    <row r="315" spans="1:7" ht="13.2" hidden="1">
      <c r="A315" s="11"/>
      <c r="B315" s="11"/>
      <c r="C315" s="11"/>
      <c r="D315" s="11"/>
      <c r="E315" s="11"/>
      <c r="F315" s="12"/>
      <c r="G315" s="11"/>
    </row>
    <row r="316" spans="1:7" ht="13.2" hidden="1">
      <c r="A316" s="11"/>
      <c r="B316" s="11"/>
      <c r="C316" s="11"/>
      <c r="D316" s="11"/>
      <c r="E316" s="11"/>
      <c r="F316" s="12"/>
      <c r="G316" s="11"/>
    </row>
    <row r="317" spans="1:7" ht="13.2" hidden="1">
      <c r="A317" s="11"/>
      <c r="B317" s="11"/>
      <c r="C317" s="11"/>
      <c r="D317" s="11"/>
      <c r="E317" s="11"/>
      <c r="F317" s="12"/>
      <c r="G317" s="11"/>
    </row>
    <row r="318" spans="1:7" ht="13.2" hidden="1">
      <c r="A318" s="11"/>
      <c r="B318" s="11"/>
      <c r="C318" s="11"/>
      <c r="D318" s="11"/>
      <c r="E318" s="11"/>
      <c r="F318" s="12"/>
      <c r="G318" s="11"/>
    </row>
    <row r="319" spans="1:7" ht="13.2" hidden="1">
      <c r="A319" s="11"/>
      <c r="B319" s="11"/>
      <c r="C319" s="11"/>
      <c r="D319" s="11"/>
      <c r="E319" s="11"/>
      <c r="F319" s="12"/>
      <c r="G319" s="11"/>
    </row>
    <row r="320" spans="1:7" ht="13.2" hidden="1">
      <c r="A320" s="11"/>
      <c r="B320" s="11"/>
      <c r="C320" s="11"/>
      <c r="D320" s="11"/>
      <c r="E320" s="11"/>
      <c r="F320" s="12"/>
      <c r="G320" s="11"/>
    </row>
    <row r="321" spans="1:7" ht="13.2" hidden="1">
      <c r="A321" s="11"/>
      <c r="B321" s="11"/>
      <c r="C321" s="11"/>
      <c r="D321" s="11"/>
      <c r="E321" s="11"/>
      <c r="F321" s="12"/>
      <c r="G321" s="11"/>
    </row>
    <row r="322" spans="1:7" ht="13.2" hidden="1">
      <c r="A322" s="11"/>
      <c r="B322" s="11"/>
      <c r="C322" s="11"/>
      <c r="D322" s="11"/>
      <c r="E322" s="11"/>
      <c r="F322" s="12"/>
      <c r="G322" s="11"/>
    </row>
    <row r="323" spans="1:7" ht="13.2" hidden="1">
      <c r="A323" s="11"/>
      <c r="B323" s="11"/>
      <c r="C323" s="11"/>
      <c r="D323" s="11"/>
      <c r="E323" s="11"/>
      <c r="F323" s="12"/>
      <c r="G323" s="11"/>
    </row>
    <row r="324" spans="1:7" ht="13.2" hidden="1">
      <c r="A324" s="11"/>
      <c r="B324" s="11"/>
      <c r="C324" s="11"/>
      <c r="D324" s="11"/>
      <c r="E324" s="11"/>
      <c r="F324" s="12"/>
      <c r="G324" s="11"/>
    </row>
    <row r="325" spans="1:7" ht="13.2" hidden="1">
      <c r="A325" s="11"/>
      <c r="B325" s="11"/>
      <c r="C325" s="11"/>
      <c r="D325" s="11"/>
      <c r="E325" s="11"/>
      <c r="F325" s="12"/>
      <c r="G325" s="11"/>
    </row>
    <row r="326" spans="1:7" ht="13.2" hidden="1">
      <c r="A326" s="11"/>
      <c r="B326" s="11"/>
      <c r="C326" s="11"/>
      <c r="D326" s="11"/>
      <c r="E326" s="11"/>
      <c r="F326" s="12"/>
      <c r="G326" s="11"/>
    </row>
    <row r="327" spans="1:7" ht="13.2" hidden="1">
      <c r="A327" s="11"/>
      <c r="B327" s="11"/>
      <c r="C327" s="11"/>
      <c r="D327" s="11"/>
      <c r="E327" s="11"/>
      <c r="F327" s="12"/>
      <c r="G327" s="11"/>
    </row>
    <row r="328" spans="1:7" ht="13.2" hidden="1">
      <c r="A328" s="11"/>
      <c r="B328" s="11"/>
      <c r="C328" s="11"/>
      <c r="D328" s="11"/>
      <c r="E328" s="11"/>
      <c r="F328" s="12"/>
      <c r="G328" s="11"/>
    </row>
    <row r="329" spans="1:7" ht="13.2" hidden="1">
      <c r="A329" s="11"/>
      <c r="B329" s="11"/>
      <c r="C329" s="11"/>
      <c r="D329" s="11"/>
      <c r="E329" s="11"/>
      <c r="F329" s="12"/>
      <c r="G329" s="11"/>
    </row>
    <row r="330" spans="1:7" ht="13.2" hidden="1">
      <c r="A330" s="11"/>
      <c r="B330" s="11"/>
      <c r="C330" s="11"/>
      <c r="D330" s="11"/>
      <c r="E330" s="11"/>
      <c r="F330" s="12"/>
      <c r="G330" s="11"/>
    </row>
    <row r="331" spans="1:7" ht="13.2" hidden="1">
      <c r="A331" s="11"/>
      <c r="B331" s="11"/>
      <c r="C331" s="11"/>
      <c r="D331" s="11"/>
      <c r="E331" s="11"/>
      <c r="F331" s="12"/>
      <c r="G331" s="11"/>
    </row>
    <row r="332" spans="1:7" ht="13.2" hidden="1">
      <c r="A332" s="11"/>
      <c r="B332" s="11"/>
      <c r="C332" s="11"/>
      <c r="D332" s="11"/>
      <c r="E332" s="11"/>
      <c r="F332" s="12"/>
      <c r="G332" s="11"/>
    </row>
    <row r="333" spans="1:7" ht="13.2" hidden="1">
      <c r="A333" s="11"/>
      <c r="B333" s="11"/>
      <c r="C333" s="11"/>
      <c r="D333" s="11"/>
      <c r="E333" s="11"/>
      <c r="F333" s="12"/>
      <c r="G333" s="11"/>
    </row>
    <row r="334" spans="1:7" ht="13.2" hidden="1">
      <c r="A334" s="11"/>
      <c r="B334" s="11"/>
      <c r="C334" s="11"/>
      <c r="D334" s="11"/>
      <c r="E334" s="11"/>
      <c r="F334" s="12"/>
      <c r="G334" s="11"/>
    </row>
    <row r="335" spans="1:7" ht="13.2" hidden="1">
      <c r="A335" s="11"/>
      <c r="B335" s="11"/>
      <c r="C335" s="11"/>
      <c r="D335" s="11"/>
      <c r="E335" s="11"/>
      <c r="F335" s="12"/>
      <c r="G335" s="11"/>
    </row>
    <row r="336" spans="1:7" ht="13.2" hidden="1">
      <c r="A336" s="11"/>
      <c r="B336" s="11"/>
      <c r="C336" s="11"/>
      <c r="D336" s="11"/>
      <c r="E336" s="11"/>
      <c r="F336" s="12"/>
      <c r="G336" s="11"/>
    </row>
    <row r="337" spans="1:7" ht="13.2" hidden="1">
      <c r="A337" s="11"/>
      <c r="B337" s="11"/>
      <c r="C337" s="11"/>
      <c r="D337" s="11"/>
      <c r="E337" s="11"/>
      <c r="F337" s="12"/>
      <c r="G337" s="11"/>
    </row>
    <row r="338" spans="1:7" ht="13.2" hidden="1">
      <c r="A338" s="11"/>
      <c r="B338" s="11"/>
      <c r="C338" s="11"/>
      <c r="D338" s="11"/>
      <c r="E338" s="11"/>
      <c r="F338" s="12"/>
      <c r="G338" s="11"/>
    </row>
    <row r="339" spans="1:7" ht="13.2" hidden="1">
      <c r="A339" s="11"/>
      <c r="B339" s="11"/>
      <c r="C339" s="11"/>
      <c r="D339" s="11"/>
      <c r="E339" s="11"/>
      <c r="F339" s="12"/>
      <c r="G339" s="11"/>
    </row>
    <row r="340" spans="1:7" ht="13.2" hidden="1">
      <c r="A340" s="11"/>
      <c r="B340" s="11"/>
      <c r="C340" s="11"/>
      <c r="D340" s="11"/>
      <c r="E340" s="11"/>
      <c r="F340" s="12"/>
      <c r="G340" s="11"/>
    </row>
    <row r="341" spans="1:7" ht="13.2" hidden="1">
      <c r="A341" s="11"/>
      <c r="B341" s="11"/>
      <c r="C341" s="11"/>
      <c r="D341" s="11"/>
      <c r="E341" s="11"/>
      <c r="F341" s="12"/>
      <c r="G341" s="11"/>
    </row>
    <row r="342" spans="1:7" ht="13.2" hidden="1">
      <c r="A342" s="11"/>
      <c r="B342" s="11"/>
      <c r="C342" s="11"/>
      <c r="D342" s="11"/>
      <c r="E342" s="11"/>
      <c r="F342" s="12"/>
      <c r="G342" s="11"/>
    </row>
    <row r="343" spans="1:7" ht="13.2" hidden="1">
      <c r="A343" s="11"/>
      <c r="B343" s="11"/>
      <c r="C343" s="11"/>
      <c r="D343" s="11"/>
      <c r="E343" s="11"/>
      <c r="F343" s="12"/>
      <c r="G343" s="11"/>
    </row>
    <row r="344" spans="1:7" ht="13.2" hidden="1">
      <c r="A344" s="11"/>
      <c r="B344" s="11"/>
      <c r="C344" s="11"/>
      <c r="D344" s="11"/>
      <c r="E344" s="11"/>
      <c r="F344" s="12"/>
      <c r="G344" s="11"/>
    </row>
    <row r="345" spans="1:7" ht="13.2" hidden="1">
      <c r="A345" s="11"/>
      <c r="B345" s="11"/>
      <c r="C345" s="11"/>
      <c r="D345" s="11"/>
      <c r="E345" s="11"/>
      <c r="F345" s="12"/>
      <c r="G345" s="11"/>
    </row>
    <row r="346" spans="1:7" ht="13.2" hidden="1">
      <c r="A346" s="11"/>
      <c r="B346" s="11"/>
      <c r="C346" s="11"/>
      <c r="D346" s="11"/>
      <c r="E346" s="11"/>
      <c r="F346" s="12"/>
      <c r="G346" s="11"/>
    </row>
    <row r="347" spans="1:7" ht="13.2" hidden="1">
      <c r="A347" s="11"/>
      <c r="B347" s="11"/>
      <c r="C347" s="11"/>
      <c r="D347" s="11"/>
      <c r="E347" s="11"/>
      <c r="F347" s="12"/>
      <c r="G347" s="11"/>
    </row>
    <row r="348" spans="1:7" ht="13.2" hidden="1">
      <c r="A348" s="11"/>
      <c r="B348" s="11"/>
      <c r="C348" s="11"/>
      <c r="D348" s="11"/>
      <c r="E348" s="11"/>
      <c r="F348" s="12"/>
      <c r="G348" s="11"/>
    </row>
    <row r="349" spans="1:7" ht="13.2" hidden="1">
      <c r="A349" s="11"/>
      <c r="B349" s="11"/>
      <c r="C349" s="11"/>
      <c r="D349" s="11"/>
      <c r="E349" s="11"/>
      <c r="F349" s="12"/>
      <c r="G349" s="11"/>
    </row>
    <row r="350" spans="1:7" ht="13.2" hidden="1">
      <c r="A350" s="11"/>
      <c r="B350" s="11"/>
      <c r="C350" s="11"/>
      <c r="D350" s="11"/>
      <c r="E350" s="11"/>
      <c r="F350" s="12"/>
      <c r="G350" s="11"/>
    </row>
    <row r="351" spans="1:7" ht="13.2" hidden="1">
      <c r="A351" s="11"/>
      <c r="B351" s="11"/>
      <c r="C351" s="11"/>
      <c r="D351" s="11"/>
      <c r="E351" s="11"/>
      <c r="F351" s="12"/>
      <c r="G351" s="11"/>
    </row>
    <row r="352" spans="1:7" ht="13.2" hidden="1">
      <c r="A352" s="11"/>
      <c r="B352" s="11"/>
      <c r="C352" s="11"/>
      <c r="D352" s="11"/>
      <c r="E352" s="11"/>
      <c r="F352" s="12"/>
      <c r="G352" s="11"/>
    </row>
    <row r="353" spans="1:7" ht="13.2" hidden="1">
      <c r="A353" s="11"/>
      <c r="B353" s="11"/>
      <c r="C353" s="11"/>
      <c r="D353" s="11"/>
      <c r="E353" s="11"/>
      <c r="F353" s="12"/>
      <c r="G353" s="11"/>
    </row>
    <row r="354" spans="1:7" ht="13.2" hidden="1">
      <c r="A354" s="11"/>
      <c r="B354" s="11"/>
      <c r="C354" s="11"/>
      <c r="D354" s="11"/>
      <c r="E354" s="11"/>
      <c r="F354" s="12"/>
      <c r="G354" s="11"/>
    </row>
    <row r="355" spans="1:7" ht="13.2" hidden="1">
      <c r="A355" s="11"/>
      <c r="B355" s="11"/>
      <c r="C355" s="11"/>
      <c r="D355" s="11"/>
      <c r="E355" s="11"/>
      <c r="F355" s="12"/>
      <c r="G355" s="11"/>
    </row>
    <row r="356" spans="1:7" ht="13.2" hidden="1">
      <c r="A356" s="11"/>
      <c r="B356" s="11"/>
      <c r="C356" s="11"/>
      <c r="D356" s="11"/>
      <c r="E356" s="11"/>
      <c r="F356" s="12"/>
      <c r="G356" s="11"/>
    </row>
    <row r="357" spans="1:7" ht="13.2" hidden="1">
      <c r="A357" s="11"/>
      <c r="B357" s="11"/>
      <c r="C357" s="11"/>
      <c r="D357" s="11"/>
      <c r="E357" s="11"/>
      <c r="F357" s="12"/>
      <c r="G357" s="11"/>
    </row>
    <row r="358" spans="1:7" ht="13.2" hidden="1">
      <c r="A358" s="11"/>
      <c r="B358" s="11"/>
      <c r="C358" s="11"/>
      <c r="D358" s="11"/>
      <c r="E358" s="11"/>
      <c r="F358" s="12"/>
      <c r="G358" s="11"/>
    </row>
    <row r="359" spans="1:7" ht="13.2" hidden="1">
      <c r="A359" s="11"/>
      <c r="B359" s="11"/>
      <c r="C359" s="11"/>
      <c r="D359" s="11"/>
      <c r="E359" s="11"/>
      <c r="F359" s="12"/>
      <c r="G359" s="11"/>
    </row>
    <row r="360" spans="1:7" ht="13.2" hidden="1">
      <c r="A360" s="11"/>
      <c r="B360" s="11"/>
      <c r="C360" s="11"/>
      <c r="D360" s="11"/>
      <c r="E360" s="11"/>
      <c r="F360" s="12"/>
      <c r="G360" s="11"/>
    </row>
    <row r="361" spans="1:7" ht="13.2" hidden="1">
      <c r="A361" s="11"/>
      <c r="B361" s="11"/>
      <c r="C361" s="11"/>
      <c r="D361" s="11"/>
      <c r="E361" s="11"/>
      <c r="F361" s="12"/>
      <c r="G361" s="11"/>
    </row>
    <row r="362" spans="1:7" ht="13.2" hidden="1">
      <c r="A362" s="11"/>
      <c r="B362" s="11"/>
      <c r="C362" s="11"/>
      <c r="D362" s="11"/>
      <c r="E362" s="11"/>
      <c r="F362" s="12"/>
      <c r="G362" s="11"/>
    </row>
    <row r="363" spans="1:7" ht="13.2" hidden="1">
      <c r="A363" s="11"/>
      <c r="B363" s="11"/>
      <c r="C363" s="11"/>
      <c r="D363" s="11"/>
      <c r="E363" s="11"/>
      <c r="F363" s="12"/>
      <c r="G363" s="11"/>
    </row>
    <row r="364" spans="1:7" ht="13.2" hidden="1">
      <c r="A364" s="11"/>
      <c r="B364" s="11"/>
      <c r="C364" s="11"/>
      <c r="D364" s="11"/>
      <c r="E364" s="11"/>
      <c r="F364" s="12"/>
      <c r="G364" s="11"/>
    </row>
    <row r="365" spans="1:7" ht="13.2" hidden="1">
      <c r="A365" s="11"/>
      <c r="B365" s="11"/>
      <c r="C365" s="11"/>
      <c r="D365" s="11"/>
      <c r="E365" s="11"/>
      <c r="F365" s="12"/>
      <c r="G365" s="11"/>
    </row>
    <row r="366" spans="1:7" ht="13.2" hidden="1">
      <c r="A366" s="11"/>
      <c r="B366" s="11"/>
      <c r="C366" s="11"/>
      <c r="D366" s="11"/>
      <c r="E366" s="11"/>
      <c r="F366" s="12"/>
      <c r="G366" s="11"/>
    </row>
    <row r="367" spans="1:7" ht="13.2" hidden="1">
      <c r="A367" s="11"/>
      <c r="B367" s="11"/>
      <c r="C367" s="11"/>
      <c r="D367" s="11"/>
      <c r="E367" s="11"/>
      <c r="F367" s="12"/>
      <c r="G367" s="11"/>
    </row>
    <row r="368" spans="1:7" ht="13.2" hidden="1">
      <c r="A368" s="11"/>
      <c r="B368" s="11"/>
      <c r="C368" s="11"/>
      <c r="D368" s="11"/>
      <c r="E368" s="11"/>
      <c r="F368" s="12"/>
      <c r="G368" s="11"/>
    </row>
    <row r="369" spans="1:7" ht="13.2" hidden="1">
      <c r="A369" s="11"/>
      <c r="B369" s="11"/>
      <c r="C369" s="11"/>
      <c r="D369" s="11"/>
      <c r="E369" s="11"/>
      <c r="F369" s="12"/>
      <c r="G369" s="11"/>
    </row>
    <row r="370" spans="1:7" ht="13.2" hidden="1">
      <c r="A370" s="11"/>
      <c r="B370" s="11"/>
      <c r="C370" s="11"/>
      <c r="D370" s="11"/>
      <c r="E370" s="11"/>
      <c r="F370" s="12"/>
      <c r="G370" s="11"/>
    </row>
    <row r="371" spans="1:7" ht="13.2" hidden="1">
      <c r="A371" s="11"/>
      <c r="B371" s="11"/>
      <c r="C371" s="11"/>
      <c r="D371" s="11"/>
      <c r="E371" s="11"/>
      <c r="F371" s="12"/>
      <c r="G371" s="11"/>
    </row>
    <row r="372" spans="1:7" ht="13.2" hidden="1">
      <c r="A372" s="11"/>
      <c r="B372" s="11"/>
      <c r="C372" s="11"/>
      <c r="D372" s="11"/>
      <c r="E372" s="11"/>
      <c r="F372" s="12"/>
      <c r="G372" s="11"/>
    </row>
    <row r="373" spans="1:7" ht="13.2" hidden="1">
      <c r="A373" s="11"/>
      <c r="B373" s="11"/>
      <c r="C373" s="11"/>
      <c r="D373" s="11"/>
      <c r="E373" s="11"/>
      <c r="F373" s="12"/>
      <c r="G373" s="11"/>
    </row>
    <row r="374" spans="1:7" ht="13.2" hidden="1">
      <c r="A374" s="11"/>
      <c r="B374" s="11"/>
      <c r="C374" s="11"/>
      <c r="D374" s="11"/>
      <c r="E374" s="11"/>
      <c r="F374" s="12"/>
      <c r="G374" s="11"/>
    </row>
    <row r="375" spans="1:7" ht="13.2" hidden="1">
      <c r="A375" s="11"/>
      <c r="B375" s="11"/>
      <c r="C375" s="11"/>
      <c r="D375" s="11"/>
      <c r="E375" s="11"/>
      <c r="F375" s="12"/>
      <c r="G375" s="11"/>
    </row>
    <row r="376" spans="1:7" ht="13.2" hidden="1">
      <c r="A376" s="11"/>
      <c r="B376" s="11"/>
      <c r="C376" s="11"/>
      <c r="D376" s="11"/>
      <c r="E376" s="11"/>
      <c r="F376" s="12"/>
      <c r="G376" s="11"/>
    </row>
    <row r="377" spans="1:7" ht="13.2" hidden="1">
      <c r="A377" s="11"/>
      <c r="B377" s="11"/>
      <c r="C377" s="11"/>
      <c r="D377" s="11"/>
      <c r="E377" s="11"/>
      <c r="F377" s="12"/>
      <c r="G377" s="11"/>
    </row>
    <row r="378" spans="1:7" ht="13.2" hidden="1">
      <c r="A378" s="11"/>
      <c r="B378" s="11"/>
      <c r="C378" s="11"/>
      <c r="D378" s="11"/>
      <c r="E378" s="11"/>
      <c r="F378" s="12"/>
      <c r="G378" s="11"/>
    </row>
    <row r="379" spans="1:7" ht="13.2" hidden="1">
      <c r="A379" s="11"/>
      <c r="B379" s="11"/>
      <c r="C379" s="11"/>
      <c r="D379" s="11"/>
      <c r="E379" s="11"/>
      <c r="F379" s="12"/>
      <c r="G379" s="11"/>
    </row>
    <row r="380" spans="1:7" ht="13.2" hidden="1">
      <c r="A380" s="11"/>
      <c r="B380" s="11"/>
      <c r="C380" s="11"/>
      <c r="D380" s="11"/>
      <c r="E380" s="11"/>
      <c r="F380" s="12"/>
      <c r="G380" s="11"/>
    </row>
    <row r="381" spans="1:7" ht="13.2" hidden="1">
      <c r="A381" s="11"/>
      <c r="B381" s="11"/>
      <c r="C381" s="11"/>
      <c r="D381" s="11"/>
      <c r="E381" s="11"/>
      <c r="F381" s="12"/>
      <c r="G381" s="11"/>
    </row>
    <row r="382" spans="1:7" ht="13.2" hidden="1">
      <c r="A382" s="11"/>
      <c r="B382" s="11"/>
      <c r="C382" s="11"/>
      <c r="D382" s="11"/>
      <c r="E382" s="11"/>
      <c r="F382" s="12"/>
      <c r="G382" s="11"/>
    </row>
    <row r="383" spans="1:7" ht="13.2" hidden="1">
      <c r="A383" s="11"/>
      <c r="B383" s="11"/>
      <c r="C383" s="11"/>
      <c r="D383" s="11"/>
      <c r="E383" s="11"/>
      <c r="F383" s="12"/>
      <c r="G383" s="11"/>
    </row>
    <row r="384" spans="1:7" ht="13.2" hidden="1">
      <c r="A384" s="11"/>
      <c r="B384" s="11"/>
      <c r="C384" s="11"/>
      <c r="D384" s="11"/>
      <c r="E384" s="11"/>
      <c r="F384" s="12"/>
      <c r="G384" s="11"/>
    </row>
    <row r="385" spans="1:7" ht="13.2" hidden="1">
      <c r="A385" s="11"/>
      <c r="B385" s="11"/>
      <c r="C385" s="11"/>
      <c r="D385" s="11"/>
      <c r="E385" s="11"/>
      <c r="F385" s="12"/>
      <c r="G385" s="11"/>
    </row>
    <row r="386" spans="1:7" ht="13.2" hidden="1">
      <c r="A386" s="11"/>
      <c r="B386" s="11"/>
      <c r="C386" s="11"/>
      <c r="D386" s="11"/>
      <c r="E386" s="11"/>
      <c r="F386" s="12"/>
      <c r="G386" s="11"/>
    </row>
    <row r="387" spans="1:7" ht="13.2" hidden="1">
      <c r="A387" s="11"/>
      <c r="B387" s="11"/>
      <c r="C387" s="11"/>
      <c r="D387" s="11"/>
      <c r="E387" s="11"/>
      <c r="F387" s="12"/>
      <c r="G387" s="11"/>
    </row>
    <row r="388" spans="1:7" ht="13.2" hidden="1">
      <c r="A388" s="11"/>
      <c r="B388" s="11"/>
      <c r="C388" s="11"/>
      <c r="D388" s="11"/>
      <c r="E388" s="11"/>
      <c r="F388" s="12"/>
      <c r="G388" s="11"/>
    </row>
    <row r="389" spans="1:7" ht="13.2" hidden="1">
      <c r="A389" s="11"/>
      <c r="B389" s="11"/>
      <c r="C389" s="11"/>
      <c r="D389" s="11"/>
      <c r="E389" s="11"/>
      <c r="F389" s="12"/>
      <c r="G389" s="11"/>
    </row>
    <row r="390" spans="1:7" ht="13.2" hidden="1">
      <c r="A390" s="11"/>
      <c r="B390" s="11"/>
      <c r="C390" s="11"/>
      <c r="D390" s="11"/>
      <c r="E390" s="11"/>
      <c r="F390" s="12"/>
      <c r="G390" s="11"/>
    </row>
    <row r="391" spans="1:7" ht="13.2" hidden="1">
      <c r="A391" s="11"/>
      <c r="B391" s="11"/>
      <c r="C391" s="11"/>
      <c r="D391" s="11"/>
      <c r="E391" s="11"/>
      <c r="F391" s="12"/>
      <c r="G391" s="11"/>
    </row>
    <row r="392" spans="1:7" ht="13.2" hidden="1">
      <c r="A392" s="11"/>
      <c r="B392" s="11"/>
      <c r="C392" s="11"/>
      <c r="D392" s="11"/>
      <c r="E392" s="11"/>
      <c r="F392" s="12"/>
      <c r="G392" s="11"/>
    </row>
    <row r="393" spans="1:7" ht="13.2" hidden="1">
      <c r="A393" s="11"/>
      <c r="B393" s="11"/>
      <c r="C393" s="11"/>
      <c r="D393" s="11"/>
      <c r="E393" s="11"/>
      <c r="F393" s="12"/>
      <c r="G393" s="11"/>
    </row>
    <row r="394" spans="1:7" ht="13.2" hidden="1">
      <c r="A394" s="11"/>
      <c r="B394" s="11"/>
      <c r="C394" s="11"/>
      <c r="D394" s="11"/>
      <c r="E394" s="11"/>
      <c r="F394" s="12"/>
      <c r="G394" s="11"/>
    </row>
    <row r="395" spans="1:7" ht="13.2" hidden="1">
      <c r="A395" s="11"/>
      <c r="B395" s="11"/>
      <c r="C395" s="11"/>
      <c r="D395" s="11"/>
      <c r="E395" s="11"/>
      <c r="F395" s="12"/>
      <c r="G395" s="11"/>
    </row>
    <row r="396" spans="1:7" ht="13.2" hidden="1">
      <c r="A396" s="11"/>
      <c r="B396" s="11"/>
      <c r="C396" s="11"/>
      <c r="D396" s="11"/>
      <c r="E396" s="11"/>
      <c r="F396" s="12"/>
      <c r="G396" s="11"/>
    </row>
    <row r="397" spans="1:7" ht="13.2" hidden="1">
      <c r="A397" s="11"/>
      <c r="B397" s="11"/>
      <c r="C397" s="11"/>
      <c r="D397" s="11"/>
      <c r="E397" s="11"/>
      <c r="F397" s="12"/>
      <c r="G397" s="11"/>
    </row>
    <row r="398" spans="1:7" ht="13.2" hidden="1">
      <c r="A398" s="11"/>
      <c r="B398" s="11"/>
      <c r="C398" s="11"/>
      <c r="D398" s="11"/>
      <c r="E398" s="11"/>
      <c r="F398" s="12"/>
      <c r="G398" s="11"/>
    </row>
    <row r="399" spans="1:7" ht="13.2" hidden="1">
      <c r="A399" s="11"/>
      <c r="B399" s="11"/>
      <c r="C399" s="11"/>
      <c r="D399" s="11"/>
      <c r="E399" s="11"/>
      <c r="F399" s="12"/>
      <c r="G399" s="11"/>
    </row>
    <row r="400" spans="1:7" ht="13.2" hidden="1">
      <c r="A400" s="11"/>
      <c r="B400" s="11"/>
      <c r="C400" s="11"/>
      <c r="D400" s="11"/>
      <c r="E400" s="11"/>
      <c r="F400" s="12"/>
      <c r="G400" s="11"/>
    </row>
    <row r="401" spans="1:7" ht="13.2" hidden="1">
      <c r="A401" s="11"/>
      <c r="B401" s="11"/>
      <c r="C401" s="11"/>
      <c r="D401" s="11"/>
      <c r="E401" s="11"/>
      <c r="F401" s="12"/>
      <c r="G401" s="11"/>
    </row>
    <row r="402" spans="1:7" ht="13.2" hidden="1">
      <c r="A402" s="11"/>
      <c r="B402" s="11"/>
      <c r="C402" s="11"/>
      <c r="D402" s="11"/>
      <c r="E402" s="11"/>
      <c r="F402" s="12"/>
      <c r="G402" s="11"/>
    </row>
    <row r="403" spans="1:7" ht="13.2" hidden="1">
      <c r="A403" s="11"/>
      <c r="B403" s="11"/>
      <c r="C403" s="11"/>
      <c r="D403" s="11"/>
      <c r="E403" s="11"/>
      <c r="F403" s="12"/>
      <c r="G403" s="11"/>
    </row>
    <row r="404" spans="1:7" ht="13.2" hidden="1">
      <c r="A404" s="11"/>
      <c r="B404" s="11"/>
      <c r="C404" s="11"/>
      <c r="D404" s="11"/>
      <c r="E404" s="11"/>
      <c r="F404" s="12"/>
      <c r="G404" s="11"/>
    </row>
    <row r="405" spans="1:7" ht="13.2" hidden="1">
      <c r="A405" s="11"/>
      <c r="B405" s="11"/>
      <c r="C405" s="11"/>
      <c r="D405" s="11"/>
      <c r="E405" s="11"/>
      <c r="F405" s="12"/>
      <c r="G405" s="11"/>
    </row>
    <row r="406" spans="1:7" ht="13.2" hidden="1">
      <c r="A406" s="11"/>
      <c r="B406" s="11"/>
      <c r="C406" s="11"/>
      <c r="D406" s="11"/>
      <c r="E406" s="11"/>
      <c r="F406" s="12"/>
      <c r="G406" s="11"/>
    </row>
    <row r="407" spans="1:7" ht="13.2" hidden="1">
      <c r="A407" s="11"/>
      <c r="B407" s="11"/>
      <c r="C407" s="11"/>
      <c r="D407" s="11"/>
      <c r="E407" s="11"/>
      <c r="F407" s="12"/>
      <c r="G407" s="11"/>
    </row>
    <row r="408" spans="1:7" ht="13.2" hidden="1">
      <c r="A408" s="11"/>
      <c r="B408" s="11"/>
      <c r="C408" s="11"/>
      <c r="D408" s="11"/>
      <c r="E408" s="11"/>
      <c r="F408" s="12"/>
      <c r="G408" s="11"/>
    </row>
    <row r="409" spans="1:7" ht="13.2" hidden="1">
      <c r="A409" s="11"/>
      <c r="B409" s="11"/>
      <c r="C409" s="11"/>
      <c r="D409" s="11"/>
      <c r="E409" s="11"/>
      <c r="F409" s="12"/>
      <c r="G409" s="11"/>
    </row>
    <row r="410" spans="1:7" ht="13.2" hidden="1">
      <c r="A410" s="11"/>
      <c r="B410" s="11"/>
      <c r="C410" s="11"/>
      <c r="D410" s="11"/>
      <c r="E410" s="11"/>
      <c r="F410" s="12"/>
      <c r="G410" s="11"/>
    </row>
    <row r="411" spans="1:7" ht="13.2" hidden="1">
      <c r="A411" s="11"/>
      <c r="B411" s="11"/>
      <c r="C411" s="11"/>
      <c r="D411" s="11"/>
      <c r="E411" s="11"/>
      <c r="F411" s="12"/>
      <c r="G411" s="11"/>
    </row>
    <row r="412" spans="1:7" ht="13.2" hidden="1">
      <c r="A412" s="11"/>
      <c r="B412" s="11"/>
      <c r="C412" s="11"/>
      <c r="D412" s="11"/>
      <c r="E412" s="11"/>
      <c r="F412" s="12"/>
      <c r="G412" s="11"/>
    </row>
    <row r="413" spans="1:7" ht="13.2" hidden="1">
      <c r="A413" s="11"/>
      <c r="B413" s="11"/>
      <c r="C413" s="11"/>
      <c r="D413" s="11"/>
      <c r="E413" s="11"/>
      <c r="F413" s="12"/>
      <c r="G413" s="11"/>
    </row>
    <row r="414" spans="1:7" ht="13.2" hidden="1">
      <c r="A414" s="11"/>
      <c r="B414" s="11"/>
      <c r="C414" s="11"/>
      <c r="D414" s="11"/>
      <c r="E414" s="11"/>
      <c r="F414" s="12"/>
      <c r="G414" s="11"/>
    </row>
    <row r="415" spans="1:7" ht="13.2" hidden="1">
      <c r="A415" s="11"/>
      <c r="B415" s="11"/>
      <c r="C415" s="11"/>
      <c r="D415" s="11"/>
      <c r="E415" s="11"/>
      <c r="F415" s="12"/>
      <c r="G415" s="11"/>
    </row>
    <row r="416" spans="1:7" ht="13.2" hidden="1">
      <c r="A416" s="11"/>
      <c r="B416" s="11"/>
      <c r="C416" s="11"/>
      <c r="D416" s="11"/>
      <c r="E416" s="11"/>
      <c r="F416" s="12"/>
      <c r="G416" s="11"/>
    </row>
    <row r="417" spans="1:7" ht="13.2" hidden="1">
      <c r="A417" s="11"/>
      <c r="B417" s="11"/>
      <c r="C417" s="11"/>
      <c r="D417" s="11"/>
      <c r="E417" s="11"/>
      <c r="F417" s="12"/>
      <c r="G417" s="11"/>
    </row>
    <row r="418" spans="1:7" ht="13.2" hidden="1">
      <c r="A418" s="11"/>
      <c r="B418" s="11"/>
      <c r="C418" s="11"/>
      <c r="D418" s="11"/>
      <c r="E418" s="11"/>
      <c r="F418" s="12"/>
      <c r="G418" s="11"/>
    </row>
    <row r="419" spans="1:7" ht="13.2" hidden="1">
      <c r="A419" s="11"/>
      <c r="B419" s="11"/>
      <c r="C419" s="11"/>
      <c r="D419" s="11"/>
      <c r="E419" s="11"/>
      <c r="F419" s="12"/>
      <c r="G419" s="11"/>
    </row>
    <row r="420" spans="1:7" ht="13.2" hidden="1">
      <c r="A420" s="11"/>
      <c r="B420" s="11"/>
      <c r="C420" s="11"/>
      <c r="D420" s="11"/>
      <c r="E420" s="11"/>
      <c r="F420" s="12"/>
      <c r="G420" s="11"/>
    </row>
    <row r="421" spans="1:7" ht="13.2" hidden="1">
      <c r="A421" s="11"/>
      <c r="B421" s="11"/>
      <c r="C421" s="11"/>
      <c r="D421" s="11"/>
      <c r="E421" s="11"/>
      <c r="F421" s="12"/>
      <c r="G421" s="11"/>
    </row>
    <row r="422" spans="1:7" ht="13.2" hidden="1">
      <c r="A422" s="11"/>
      <c r="B422" s="11"/>
      <c r="C422" s="11"/>
      <c r="D422" s="11"/>
      <c r="E422" s="11"/>
      <c r="F422" s="12"/>
      <c r="G422" s="11"/>
    </row>
    <row r="423" spans="1:7" ht="13.2" hidden="1">
      <c r="A423" s="11"/>
      <c r="B423" s="11"/>
      <c r="C423" s="11"/>
      <c r="D423" s="11"/>
      <c r="E423" s="11"/>
      <c r="F423" s="12"/>
      <c r="G423" s="11"/>
    </row>
    <row r="424" spans="1:7" ht="13.2" hidden="1">
      <c r="A424" s="11"/>
      <c r="B424" s="11"/>
      <c r="C424" s="11"/>
      <c r="D424" s="11"/>
      <c r="E424" s="11"/>
      <c r="F424" s="12"/>
      <c r="G424" s="11"/>
    </row>
    <row r="425" spans="1:7" ht="13.2" hidden="1">
      <c r="A425" s="11"/>
      <c r="B425" s="11"/>
      <c r="C425" s="11"/>
      <c r="D425" s="11"/>
      <c r="E425" s="11"/>
      <c r="F425" s="12"/>
      <c r="G425" s="11"/>
    </row>
    <row r="426" spans="1:7" ht="13.2" hidden="1">
      <c r="A426" s="11"/>
      <c r="B426" s="11"/>
      <c r="C426" s="11"/>
      <c r="D426" s="11"/>
      <c r="E426" s="11"/>
      <c r="F426" s="12"/>
      <c r="G426" s="11"/>
    </row>
    <row r="427" spans="1:7" ht="13.2" hidden="1">
      <c r="A427" s="11"/>
      <c r="B427" s="11"/>
      <c r="C427" s="11"/>
      <c r="D427" s="11"/>
      <c r="E427" s="11"/>
      <c r="F427" s="12"/>
      <c r="G427" s="11"/>
    </row>
    <row r="428" spans="1:7" ht="13.2" hidden="1">
      <c r="A428" s="11"/>
      <c r="B428" s="11"/>
      <c r="C428" s="11"/>
      <c r="D428" s="11"/>
      <c r="E428" s="11"/>
      <c r="F428" s="12"/>
      <c r="G428" s="11"/>
    </row>
    <row r="429" spans="1:7" ht="13.2" hidden="1">
      <c r="A429" s="11"/>
      <c r="B429" s="11"/>
      <c r="C429" s="11"/>
      <c r="D429" s="11"/>
      <c r="E429" s="11"/>
      <c r="F429" s="12"/>
      <c r="G429" s="11"/>
    </row>
    <row r="430" spans="1:7" ht="13.2" hidden="1">
      <c r="A430" s="11"/>
      <c r="B430" s="11"/>
      <c r="C430" s="11"/>
      <c r="D430" s="11"/>
      <c r="E430" s="11"/>
      <c r="F430" s="12"/>
      <c r="G430" s="11"/>
    </row>
    <row r="431" spans="1:7" ht="13.2" hidden="1">
      <c r="A431" s="11"/>
      <c r="B431" s="11"/>
      <c r="C431" s="11"/>
      <c r="D431" s="11"/>
      <c r="E431" s="11"/>
      <c r="F431" s="12"/>
      <c r="G431" s="11"/>
    </row>
    <row r="432" spans="1:7" ht="13.2" hidden="1">
      <c r="A432" s="11"/>
      <c r="B432" s="11"/>
      <c r="C432" s="11"/>
      <c r="D432" s="11"/>
      <c r="E432" s="11"/>
      <c r="F432" s="12"/>
      <c r="G432" s="11"/>
    </row>
    <row r="433" spans="1:7" ht="13.2" hidden="1">
      <c r="A433" s="11"/>
      <c r="B433" s="11"/>
      <c r="C433" s="11"/>
      <c r="D433" s="11"/>
      <c r="E433" s="11"/>
      <c r="F433" s="12"/>
      <c r="G433" s="11"/>
    </row>
    <row r="434" spans="1:7" ht="13.2" hidden="1">
      <c r="A434" s="11"/>
      <c r="B434" s="11"/>
      <c r="C434" s="11"/>
      <c r="D434" s="11"/>
      <c r="E434" s="11"/>
      <c r="F434" s="12"/>
      <c r="G434" s="11"/>
    </row>
    <row r="435" spans="1:7" ht="13.2" hidden="1">
      <c r="A435" s="11"/>
      <c r="B435" s="11"/>
      <c r="C435" s="11"/>
      <c r="D435" s="11"/>
      <c r="E435" s="11"/>
      <c r="F435" s="12"/>
      <c r="G435" s="11"/>
    </row>
    <row r="436" spans="1:7" ht="13.2" hidden="1">
      <c r="A436" s="11"/>
      <c r="B436" s="11"/>
      <c r="C436" s="11"/>
      <c r="D436" s="11"/>
      <c r="E436" s="11"/>
      <c r="F436" s="12"/>
      <c r="G436" s="11"/>
    </row>
    <row r="437" spans="1:7" ht="13.2" hidden="1">
      <c r="A437" s="11"/>
      <c r="B437" s="11"/>
      <c r="C437" s="11"/>
      <c r="D437" s="11"/>
      <c r="E437" s="11"/>
      <c r="F437" s="12"/>
      <c r="G437" s="11"/>
    </row>
    <row r="438" spans="1:7" ht="13.2" hidden="1">
      <c r="A438" s="11"/>
      <c r="B438" s="11"/>
      <c r="C438" s="11"/>
      <c r="D438" s="11"/>
      <c r="E438" s="11"/>
      <c r="F438" s="12"/>
      <c r="G438" s="11"/>
    </row>
    <row r="439" spans="1:7" ht="13.2" hidden="1">
      <c r="A439" s="11"/>
      <c r="B439" s="11"/>
      <c r="C439" s="11"/>
      <c r="D439" s="11"/>
      <c r="E439" s="11"/>
      <c r="F439" s="12"/>
      <c r="G439" s="11"/>
    </row>
    <row r="440" spans="1:7" ht="13.2" hidden="1">
      <c r="A440" s="11"/>
      <c r="B440" s="11"/>
      <c r="C440" s="11"/>
      <c r="D440" s="11"/>
      <c r="E440" s="11"/>
      <c r="F440" s="12"/>
      <c r="G440" s="11"/>
    </row>
    <row r="441" spans="1:7" ht="13.2" hidden="1">
      <c r="A441" s="11"/>
      <c r="B441" s="11"/>
      <c r="C441" s="11"/>
      <c r="D441" s="11"/>
      <c r="E441" s="11"/>
      <c r="F441" s="12"/>
      <c r="G441" s="11"/>
    </row>
    <row r="442" spans="1:7" ht="13.2" hidden="1">
      <c r="A442" s="11"/>
      <c r="B442" s="11"/>
      <c r="C442" s="11"/>
      <c r="D442" s="11"/>
      <c r="E442" s="11"/>
      <c r="F442" s="12"/>
      <c r="G442" s="11"/>
    </row>
    <row r="443" spans="1:7" ht="13.2" hidden="1">
      <c r="A443" s="11"/>
      <c r="B443" s="11"/>
      <c r="C443" s="11"/>
      <c r="D443" s="11"/>
      <c r="E443" s="11"/>
      <c r="F443" s="12"/>
      <c r="G443" s="11"/>
    </row>
    <row r="444" spans="1:7" ht="13.2" hidden="1">
      <c r="A444" s="11"/>
      <c r="B444" s="11"/>
      <c r="C444" s="11"/>
      <c r="D444" s="11"/>
      <c r="E444" s="11"/>
      <c r="F444" s="12"/>
      <c r="G444" s="11"/>
    </row>
    <row r="445" spans="1:7" ht="13.2" hidden="1">
      <c r="A445" s="11"/>
      <c r="B445" s="11"/>
      <c r="C445" s="11"/>
      <c r="D445" s="11"/>
      <c r="E445" s="11"/>
      <c r="F445" s="12"/>
      <c r="G445" s="11"/>
    </row>
    <row r="446" spans="1:7" ht="13.2" hidden="1">
      <c r="A446" s="11"/>
      <c r="B446" s="11"/>
      <c r="C446" s="11"/>
      <c r="D446" s="11"/>
      <c r="E446" s="11"/>
      <c r="F446" s="12"/>
      <c r="G446" s="11"/>
    </row>
    <row r="447" spans="1:7" ht="13.2" hidden="1">
      <c r="A447" s="11"/>
      <c r="B447" s="11"/>
      <c r="C447" s="11"/>
      <c r="D447" s="11"/>
      <c r="E447" s="11"/>
      <c r="F447" s="12"/>
      <c r="G447" s="11"/>
    </row>
    <row r="448" spans="1:7" ht="13.2" hidden="1">
      <c r="A448" s="11"/>
      <c r="B448" s="11"/>
      <c r="C448" s="11"/>
      <c r="D448" s="11"/>
      <c r="E448" s="11"/>
      <c r="F448" s="12"/>
      <c r="G448" s="11"/>
    </row>
    <row r="449" spans="1:7" ht="13.2" hidden="1">
      <c r="A449" s="11"/>
      <c r="B449" s="11"/>
      <c r="C449" s="11"/>
      <c r="D449" s="11"/>
      <c r="E449" s="11"/>
      <c r="F449" s="12"/>
      <c r="G449" s="11"/>
    </row>
    <row r="450" spans="1:7" ht="13.2" hidden="1">
      <c r="A450" s="11"/>
      <c r="B450" s="11"/>
      <c r="C450" s="11"/>
      <c r="D450" s="11"/>
      <c r="E450" s="11"/>
      <c r="F450" s="12"/>
      <c r="G450" s="11"/>
    </row>
    <row r="451" spans="1:7" ht="13.2" hidden="1">
      <c r="A451" s="11"/>
      <c r="B451" s="11"/>
      <c r="C451" s="11"/>
      <c r="D451" s="11"/>
      <c r="E451" s="11"/>
      <c r="F451" s="12"/>
      <c r="G451" s="11"/>
    </row>
    <row r="452" spans="1:7" ht="13.2" hidden="1">
      <c r="A452" s="11"/>
      <c r="B452" s="11"/>
      <c r="C452" s="11"/>
      <c r="D452" s="11"/>
      <c r="E452" s="11"/>
      <c r="F452" s="12"/>
      <c r="G452" s="11"/>
    </row>
    <row r="453" spans="1:7" ht="13.2" hidden="1">
      <c r="A453" s="11"/>
      <c r="B453" s="11"/>
      <c r="C453" s="11"/>
      <c r="D453" s="11"/>
      <c r="E453" s="11"/>
      <c r="F453" s="12"/>
      <c r="G453" s="11"/>
    </row>
    <row r="454" spans="1:7" ht="13.2" hidden="1">
      <c r="A454" s="11"/>
      <c r="B454" s="11"/>
      <c r="C454" s="11"/>
      <c r="D454" s="11"/>
      <c r="E454" s="11"/>
      <c r="F454" s="12"/>
      <c r="G454" s="11"/>
    </row>
    <row r="455" spans="1:7" ht="13.2" hidden="1">
      <c r="A455" s="11"/>
      <c r="B455" s="11"/>
      <c r="C455" s="11"/>
      <c r="D455" s="11"/>
      <c r="E455" s="11"/>
      <c r="F455" s="12"/>
      <c r="G455" s="11"/>
    </row>
    <row r="456" spans="1:7" ht="13.2" hidden="1">
      <c r="A456" s="11"/>
      <c r="B456" s="11"/>
      <c r="C456" s="11"/>
      <c r="D456" s="11"/>
      <c r="E456" s="11"/>
      <c r="F456" s="12"/>
      <c r="G456" s="11"/>
    </row>
    <row r="457" spans="1:7" ht="13.2" hidden="1">
      <c r="A457" s="11"/>
      <c r="B457" s="11"/>
      <c r="C457" s="11"/>
      <c r="D457" s="11"/>
      <c r="E457" s="11"/>
      <c r="F457" s="12"/>
      <c r="G457" s="11"/>
    </row>
    <row r="458" spans="1:7" ht="13.2" hidden="1">
      <c r="A458" s="11"/>
      <c r="B458" s="11"/>
      <c r="C458" s="11"/>
      <c r="D458" s="11"/>
      <c r="E458" s="11"/>
      <c r="F458" s="12"/>
      <c r="G458" s="11"/>
    </row>
    <row r="459" spans="1:7" ht="13.2" hidden="1">
      <c r="A459" s="11"/>
      <c r="B459" s="11"/>
      <c r="C459" s="11"/>
      <c r="D459" s="11"/>
      <c r="E459" s="11"/>
      <c r="F459" s="12"/>
      <c r="G459" s="11"/>
    </row>
    <row r="460" spans="1:7" ht="13.2" hidden="1">
      <c r="A460" s="11"/>
      <c r="B460" s="11"/>
      <c r="C460" s="11"/>
      <c r="D460" s="11"/>
      <c r="E460" s="11"/>
      <c r="F460" s="12"/>
      <c r="G460" s="11"/>
    </row>
    <row r="461" spans="1:7" ht="13.2" hidden="1">
      <c r="A461" s="11"/>
      <c r="B461" s="11"/>
      <c r="C461" s="11"/>
      <c r="D461" s="11"/>
      <c r="E461" s="11"/>
      <c r="F461" s="12"/>
      <c r="G461" s="11"/>
    </row>
    <row r="462" spans="1:7" ht="13.2" hidden="1">
      <c r="A462" s="11"/>
      <c r="B462" s="11"/>
      <c r="C462" s="11"/>
      <c r="D462" s="11"/>
      <c r="E462" s="11"/>
      <c r="F462" s="12"/>
      <c r="G462" s="11"/>
    </row>
    <row r="463" spans="1:7" ht="13.2" hidden="1">
      <c r="A463" s="11"/>
      <c r="B463" s="11"/>
      <c r="C463" s="11"/>
      <c r="D463" s="11"/>
      <c r="E463" s="11"/>
      <c r="F463" s="12"/>
      <c r="G463" s="11"/>
    </row>
    <row r="464" spans="1:7" ht="13.2" hidden="1">
      <c r="A464" s="11"/>
      <c r="B464" s="11"/>
      <c r="C464" s="11"/>
      <c r="D464" s="11"/>
      <c r="E464" s="11"/>
      <c r="F464" s="12"/>
      <c r="G464" s="11"/>
    </row>
    <row r="465" spans="1:7" ht="13.2" hidden="1">
      <c r="A465" s="11"/>
      <c r="B465" s="11"/>
      <c r="C465" s="11"/>
      <c r="D465" s="11"/>
      <c r="E465" s="11"/>
      <c r="F465" s="12"/>
      <c r="G465" s="11"/>
    </row>
    <row r="466" spans="1:7" ht="13.2" hidden="1">
      <c r="A466" s="11"/>
      <c r="B466" s="11"/>
      <c r="C466" s="11"/>
      <c r="D466" s="11"/>
      <c r="E466" s="11"/>
      <c r="F466" s="12"/>
      <c r="G466" s="11"/>
    </row>
    <row r="467" spans="1:7" ht="13.2" hidden="1">
      <c r="A467" s="11"/>
      <c r="B467" s="11"/>
      <c r="C467" s="11"/>
      <c r="D467" s="11"/>
      <c r="E467" s="11"/>
      <c r="F467" s="12"/>
      <c r="G467" s="11"/>
    </row>
    <row r="468" spans="1:7" ht="13.2" hidden="1">
      <c r="A468" s="11"/>
      <c r="B468" s="11"/>
      <c r="C468" s="11"/>
      <c r="D468" s="11"/>
      <c r="E468" s="11"/>
      <c r="F468" s="12"/>
      <c r="G468" s="11"/>
    </row>
    <row r="469" spans="1:7" ht="13.2" hidden="1">
      <c r="A469" s="11"/>
      <c r="B469" s="11"/>
      <c r="C469" s="11"/>
      <c r="D469" s="11"/>
      <c r="E469" s="11"/>
      <c r="F469" s="12"/>
      <c r="G469" s="11"/>
    </row>
    <row r="470" spans="1:7" ht="13.2" hidden="1">
      <c r="A470" s="11"/>
      <c r="B470" s="11"/>
      <c r="C470" s="11"/>
      <c r="D470" s="11"/>
      <c r="E470" s="11"/>
      <c r="F470" s="12"/>
      <c r="G470" s="11"/>
    </row>
    <row r="471" spans="1:7" ht="13.2" hidden="1">
      <c r="A471" s="11"/>
      <c r="B471" s="11"/>
      <c r="C471" s="11"/>
      <c r="D471" s="11"/>
      <c r="E471" s="11"/>
      <c r="F471" s="12"/>
      <c r="G471" s="11"/>
    </row>
    <row r="472" spans="1:7" ht="13.2" hidden="1">
      <c r="A472" s="11"/>
      <c r="B472" s="11"/>
      <c r="C472" s="11"/>
      <c r="D472" s="11"/>
      <c r="E472" s="11"/>
      <c r="F472" s="12"/>
      <c r="G472" s="11"/>
    </row>
    <row r="473" spans="1:7" ht="13.2" hidden="1">
      <c r="A473" s="11"/>
      <c r="B473" s="11"/>
      <c r="C473" s="11"/>
      <c r="D473" s="11"/>
      <c r="E473" s="11"/>
      <c r="F473" s="12"/>
      <c r="G473" s="11"/>
    </row>
    <row r="474" spans="1:7" ht="13.2" hidden="1">
      <c r="A474" s="11"/>
      <c r="B474" s="11"/>
      <c r="C474" s="11"/>
      <c r="D474" s="11"/>
      <c r="E474" s="11"/>
      <c r="F474" s="12"/>
      <c r="G474" s="11"/>
    </row>
    <row r="475" spans="1:7" ht="13.2" hidden="1">
      <c r="A475" s="11"/>
      <c r="B475" s="11"/>
      <c r="C475" s="11"/>
      <c r="D475" s="11"/>
      <c r="E475" s="11"/>
      <c r="F475" s="12"/>
      <c r="G475" s="11"/>
    </row>
    <row r="476" spans="1:7" ht="13.2" hidden="1">
      <c r="A476" s="11"/>
      <c r="B476" s="11"/>
      <c r="C476" s="11"/>
      <c r="D476" s="11"/>
      <c r="E476" s="11"/>
      <c r="F476" s="12"/>
      <c r="G476" s="11"/>
    </row>
    <row r="477" spans="1:7" ht="13.2" hidden="1">
      <c r="A477" s="11"/>
      <c r="B477" s="11"/>
      <c r="C477" s="11"/>
      <c r="D477" s="11"/>
      <c r="E477" s="11"/>
      <c r="F477" s="12"/>
      <c r="G477" s="11"/>
    </row>
    <row r="478" spans="1:7" ht="13.2" hidden="1">
      <c r="A478" s="11"/>
      <c r="B478" s="11"/>
      <c r="C478" s="11"/>
      <c r="D478" s="11"/>
      <c r="E478" s="11"/>
      <c r="F478" s="12"/>
      <c r="G478" s="11"/>
    </row>
    <row r="479" spans="1:7" ht="13.2" hidden="1">
      <c r="A479" s="11"/>
      <c r="B479" s="11"/>
      <c r="C479" s="11"/>
      <c r="D479" s="11"/>
      <c r="E479" s="11"/>
      <c r="F479" s="12"/>
      <c r="G479" s="11"/>
    </row>
    <row r="480" spans="1:7" ht="13.2" hidden="1">
      <c r="A480" s="11"/>
      <c r="B480" s="11"/>
      <c r="C480" s="11"/>
      <c r="D480" s="11"/>
      <c r="E480" s="11"/>
      <c r="F480" s="12"/>
      <c r="G480" s="11"/>
    </row>
    <row r="481" spans="1:7" ht="13.2" hidden="1">
      <c r="A481" s="11"/>
      <c r="B481" s="11"/>
      <c r="C481" s="11"/>
      <c r="D481" s="11"/>
      <c r="E481" s="11"/>
      <c r="F481" s="12"/>
      <c r="G481" s="11"/>
    </row>
    <row r="482" spans="1:7" ht="13.2" hidden="1">
      <c r="A482" s="11"/>
      <c r="B482" s="11"/>
      <c r="C482" s="11"/>
      <c r="D482" s="11"/>
      <c r="E482" s="11"/>
      <c r="F482" s="12"/>
      <c r="G482" s="11"/>
    </row>
    <row r="483" spans="1:7" ht="13.2" hidden="1">
      <c r="A483" s="11"/>
      <c r="B483" s="11"/>
      <c r="C483" s="11"/>
      <c r="D483" s="11"/>
      <c r="E483" s="11"/>
      <c r="F483" s="12"/>
      <c r="G483" s="11"/>
    </row>
    <row r="484" spans="1:7" ht="13.2" hidden="1">
      <c r="A484" s="11"/>
      <c r="B484" s="11"/>
      <c r="C484" s="11"/>
      <c r="D484" s="11"/>
      <c r="E484" s="11"/>
      <c r="F484" s="12"/>
      <c r="G484" s="11"/>
    </row>
    <row r="485" spans="1:7" ht="13.2" hidden="1">
      <c r="A485" s="11"/>
      <c r="B485" s="11"/>
      <c r="C485" s="11"/>
      <c r="D485" s="11"/>
      <c r="E485" s="11"/>
      <c r="F485" s="12"/>
      <c r="G485" s="11"/>
    </row>
    <row r="486" spans="1:7" ht="13.2" hidden="1">
      <c r="A486" s="11"/>
      <c r="B486" s="11"/>
      <c r="C486" s="11"/>
      <c r="D486" s="11"/>
      <c r="E486" s="11"/>
      <c r="F486" s="12"/>
      <c r="G486" s="11"/>
    </row>
    <row r="487" spans="1:7" ht="13.2" hidden="1">
      <c r="A487" s="11"/>
      <c r="B487" s="11"/>
      <c r="C487" s="11"/>
      <c r="D487" s="11"/>
      <c r="E487" s="11"/>
      <c r="F487" s="12"/>
      <c r="G487" s="11"/>
    </row>
    <row r="488" spans="1:7" ht="13.2" hidden="1">
      <c r="A488" s="11"/>
      <c r="B488" s="11"/>
      <c r="C488" s="11"/>
      <c r="D488" s="11"/>
      <c r="E488" s="11"/>
      <c r="F488" s="12"/>
      <c r="G488" s="11"/>
    </row>
    <row r="489" spans="1:7" ht="13.2" hidden="1">
      <c r="A489" s="11"/>
      <c r="B489" s="11"/>
      <c r="C489" s="11"/>
      <c r="D489" s="11"/>
      <c r="E489" s="11"/>
      <c r="F489" s="12"/>
      <c r="G489" s="11"/>
    </row>
    <row r="490" spans="1:7" ht="13.2" hidden="1">
      <c r="A490" s="11"/>
      <c r="B490" s="11"/>
      <c r="C490" s="11"/>
      <c r="D490" s="11"/>
      <c r="E490" s="11"/>
      <c r="F490" s="12"/>
      <c r="G490" s="11"/>
    </row>
    <row r="491" spans="1:7" ht="13.2" hidden="1">
      <c r="A491" s="11"/>
      <c r="B491" s="11"/>
      <c r="C491" s="11"/>
      <c r="D491" s="11"/>
      <c r="E491" s="11"/>
      <c r="F491" s="12"/>
      <c r="G491" s="11"/>
    </row>
    <row r="492" spans="1:7" ht="13.2" hidden="1">
      <c r="A492" s="11"/>
      <c r="B492" s="11"/>
      <c r="C492" s="11"/>
      <c r="D492" s="11"/>
      <c r="E492" s="11"/>
      <c r="F492" s="12"/>
      <c r="G492" s="11"/>
    </row>
    <row r="493" spans="1:7" ht="13.2" hidden="1">
      <c r="A493" s="11"/>
      <c r="B493" s="11"/>
      <c r="C493" s="11"/>
      <c r="D493" s="11"/>
      <c r="E493" s="11"/>
      <c r="F493" s="12"/>
      <c r="G493" s="11"/>
    </row>
    <row r="494" spans="1:7" ht="13.2" hidden="1">
      <c r="A494" s="11"/>
      <c r="B494" s="11"/>
      <c r="C494" s="11"/>
      <c r="D494" s="11"/>
      <c r="E494" s="11"/>
      <c r="F494" s="12"/>
      <c r="G494" s="11"/>
    </row>
    <row r="495" spans="1:7" ht="13.2" hidden="1">
      <c r="A495" s="11"/>
      <c r="B495" s="11"/>
      <c r="C495" s="11"/>
      <c r="D495" s="11"/>
      <c r="E495" s="11"/>
      <c r="F495" s="12"/>
      <c r="G495" s="11"/>
    </row>
    <row r="496" spans="1:7" ht="13.2" hidden="1">
      <c r="A496" s="11"/>
      <c r="B496" s="11"/>
      <c r="C496" s="11"/>
      <c r="D496" s="11"/>
      <c r="E496" s="11"/>
      <c r="F496" s="12"/>
      <c r="G496" s="11"/>
    </row>
    <row r="497" spans="1:7" ht="13.2" hidden="1">
      <c r="A497" s="11"/>
      <c r="B497" s="11"/>
      <c r="C497" s="11"/>
      <c r="D497" s="11"/>
      <c r="E497" s="11"/>
      <c r="F497" s="12"/>
      <c r="G497" s="11"/>
    </row>
    <row r="498" spans="1:7" ht="13.2" hidden="1">
      <c r="A498" s="11"/>
      <c r="B498" s="11"/>
      <c r="C498" s="11"/>
      <c r="D498" s="11"/>
      <c r="E498" s="11"/>
      <c r="F498" s="12"/>
      <c r="G498" s="11"/>
    </row>
    <row r="499" spans="1:7" ht="13.2" hidden="1">
      <c r="A499" s="11"/>
      <c r="B499" s="11"/>
      <c r="C499" s="11"/>
      <c r="D499" s="11"/>
      <c r="E499" s="11"/>
      <c r="F499" s="12"/>
      <c r="G499" s="11"/>
    </row>
    <row r="500" spans="1:7" ht="13.2" hidden="1">
      <c r="A500" s="11"/>
      <c r="B500" s="11"/>
      <c r="C500" s="11"/>
      <c r="D500" s="11"/>
      <c r="E500" s="11"/>
      <c r="F500" s="12"/>
      <c r="G500" s="11"/>
    </row>
    <row r="501" spans="1:7" ht="13.2" hidden="1">
      <c r="A501" s="11"/>
      <c r="B501" s="11"/>
      <c r="C501" s="11"/>
      <c r="D501" s="11"/>
      <c r="E501" s="11"/>
      <c r="F501" s="12"/>
      <c r="G501" s="11"/>
    </row>
    <row r="502" spans="1:7" ht="13.2" hidden="1">
      <c r="A502" s="11"/>
      <c r="B502" s="11"/>
      <c r="C502" s="11"/>
      <c r="D502" s="11"/>
      <c r="E502" s="11"/>
      <c r="F502" s="12"/>
      <c r="G502" s="11"/>
    </row>
    <row r="503" spans="1:7" ht="13.2" hidden="1">
      <c r="A503" s="11"/>
      <c r="B503" s="11"/>
      <c r="C503" s="11"/>
      <c r="D503" s="11"/>
      <c r="E503" s="11"/>
      <c r="F503" s="12"/>
      <c r="G503" s="11"/>
    </row>
    <row r="504" spans="1:7" ht="13.2" hidden="1">
      <c r="A504" s="11"/>
      <c r="B504" s="11"/>
      <c r="C504" s="11"/>
      <c r="D504" s="11"/>
      <c r="E504" s="11"/>
      <c r="F504" s="12"/>
      <c r="G504" s="11"/>
    </row>
    <row r="505" spans="1:7" ht="13.2" hidden="1">
      <c r="A505" s="11"/>
      <c r="B505" s="11"/>
      <c r="C505" s="11"/>
      <c r="D505" s="11"/>
      <c r="E505" s="11"/>
      <c r="F505" s="12"/>
      <c r="G505" s="11"/>
    </row>
    <row r="506" spans="1:7" ht="13.2" hidden="1">
      <c r="A506" s="11"/>
      <c r="B506" s="11"/>
      <c r="C506" s="11"/>
      <c r="D506" s="11"/>
      <c r="E506" s="11"/>
      <c r="F506" s="12"/>
      <c r="G506" s="11"/>
    </row>
    <row r="507" spans="1:7" ht="13.2" hidden="1">
      <c r="A507" s="11"/>
      <c r="B507" s="11"/>
      <c r="C507" s="11"/>
      <c r="D507" s="11"/>
      <c r="E507" s="11"/>
      <c r="F507" s="12"/>
      <c r="G507" s="11"/>
    </row>
    <row r="508" spans="1:7" ht="13.2" hidden="1">
      <c r="A508" s="11"/>
      <c r="B508" s="11"/>
      <c r="C508" s="11"/>
      <c r="D508" s="11"/>
      <c r="E508" s="11"/>
      <c r="F508" s="12"/>
      <c r="G508" s="11"/>
    </row>
    <row r="509" spans="1:7" ht="13.2" hidden="1">
      <c r="A509" s="11"/>
      <c r="B509" s="11"/>
      <c r="C509" s="11"/>
      <c r="D509" s="11"/>
      <c r="E509" s="11"/>
      <c r="F509" s="12"/>
      <c r="G509" s="11"/>
    </row>
    <row r="510" spans="1:7" ht="13.2" hidden="1">
      <c r="A510" s="11"/>
      <c r="B510" s="11"/>
      <c r="C510" s="11"/>
      <c r="D510" s="11"/>
      <c r="E510" s="11"/>
      <c r="F510" s="12"/>
      <c r="G510" s="11"/>
    </row>
    <row r="511" spans="1:7" ht="13.2" hidden="1">
      <c r="A511" s="11"/>
      <c r="B511" s="11"/>
      <c r="C511" s="11"/>
      <c r="D511" s="11"/>
      <c r="E511" s="11"/>
      <c r="F511" s="12"/>
      <c r="G511" s="11"/>
    </row>
    <row r="512" spans="1:7" ht="13.2" hidden="1">
      <c r="A512" s="11"/>
      <c r="B512" s="11"/>
      <c r="C512" s="11"/>
      <c r="D512" s="11"/>
      <c r="E512" s="11"/>
      <c r="F512" s="12"/>
      <c r="G512" s="11"/>
    </row>
    <row r="513" spans="1:7" ht="13.2" hidden="1">
      <c r="A513" s="11"/>
      <c r="B513" s="11"/>
      <c r="C513" s="11"/>
      <c r="D513" s="11"/>
      <c r="E513" s="11"/>
      <c r="F513" s="12"/>
      <c r="G513" s="11"/>
    </row>
    <row r="514" spans="1:7" ht="13.2" hidden="1">
      <c r="A514" s="11"/>
      <c r="B514" s="11"/>
      <c r="C514" s="11"/>
      <c r="D514" s="11"/>
      <c r="E514" s="11"/>
      <c r="F514" s="12"/>
      <c r="G514" s="11"/>
    </row>
    <row r="515" spans="1:7" ht="13.2" hidden="1">
      <c r="A515" s="11"/>
      <c r="B515" s="11"/>
      <c r="C515" s="11"/>
      <c r="D515" s="11"/>
      <c r="E515" s="11"/>
      <c r="F515" s="12"/>
      <c r="G515" s="11"/>
    </row>
    <row r="516" spans="1:7" ht="13.2" hidden="1">
      <c r="A516" s="11"/>
      <c r="B516" s="11"/>
      <c r="C516" s="11"/>
      <c r="D516" s="11"/>
      <c r="E516" s="11"/>
      <c r="F516" s="12"/>
      <c r="G516" s="11"/>
    </row>
    <row r="517" spans="1:7" ht="13.2" hidden="1">
      <c r="A517" s="11"/>
      <c r="B517" s="11"/>
      <c r="C517" s="11"/>
      <c r="D517" s="11"/>
      <c r="E517" s="11"/>
      <c r="F517" s="12"/>
      <c r="G517" s="11"/>
    </row>
    <row r="518" spans="1:7" ht="13.2" hidden="1">
      <c r="A518" s="11"/>
      <c r="B518" s="11"/>
      <c r="C518" s="11"/>
      <c r="D518" s="11"/>
      <c r="E518" s="11"/>
      <c r="F518" s="12"/>
      <c r="G518" s="11"/>
    </row>
    <row r="519" spans="1:7" ht="13.2" hidden="1">
      <c r="A519" s="11"/>
      <c r="B519" s="11"/>
      <c r="C519" s="11"/>
      <c r="D519" s="11"/>
      <c r="E519" s="11"/>
      <c r="F519" s="12"/>
      <c r="G519" s="11"/>
    </row>
    <row r="520" spans="1:7" ht="13.2" hidden="1">
      <c r="A520" s="11"/>
      <c r="B520" s="11"/>
      <c r="C520" s="11"/>
      <c r="D520" s="11"/>
      <c r="E520" s="11"/>
      <c r="F520" s="12"/>
      <c r="G520" s="11"/>
    </row>
    <row r="521" spans="1:7" ht="13.2" hidden="1">
      <c r="A521" s="11"/>
      <c r="B521" s="11"/>
      <c r="C521" s="11"/>
      <c r="D521" s="11"/>
      <c r="E521" s="11"/>
      <c r="F521" s="12"/>
      <c r="G521" s="11"/>
    </row>
    <row r="522" spans="1:7" ht="13.2" hidden="1">
      <c r="A522" s="11"/>
      <c r="B522" s="11"/>
      <c r="C522" s="11"/>
      <c r="D522" s="11"/>
      <c r="E522" s="11"/>
      <c r="F522" s="12"/>
      <c r="G522" s="11"/>
    </row>
    <row r="523" spans="1:7" ht="13.2" hidden="1">
      <c r="A523" s="11"/>
      <c r="B523" s="11"/>
      <c r="C523" s="11"/>
      <c r="D523" s="11"/>
      <c r="E523" s="11"/>
      <c r="F523" s="12"/>
      <c r="G523" s="11"/>
    </row>
    <row r="524" spans="1:7" ht="13.2" hidden="1">
      <c r="A524" s="11"/>
      <c r="B524" s="11"/>
      <c r="C524" s="11"/>
      <c r="D524" s="11"/>
      <c r="E524" s="11"/>
      <c r="F524" s="12"/>
      <c r="G524" s="11"/>
    </row>
    <row r="525" spans="1:7" ht="13.2" hidden="1">
      <c r="A525" s="11"/>
      <c r="B525" s="11"/>
      <c r="C525" s="11"/>
      <c r="D525" s="11"/>
      <c r="E525" s="11"/>
      <c r="F525" s="12"/>
      <c r="G525" s="11"/>
    </row>
    <row r="526" spans="1:7" ht="13.2" hidden="1">
      <c r="A526" s="11"/>
      <c r="B526" s="11"/>
      <c r="C526" s="11"/>
      <c r="D526" s="11"/>
      <c r="E526" s="11"/>
      <c r="F526" s="12"/>
      <c r="G526" s="11"/>
    </row>
    <row r="527" spans="1:7" ht="13.2" hidden="1">
      <c r="A527" s="11"/>
      <c r="B527" s="11"/>
      <c r="C527" s="11"/>
      <c r="D527" s="11"/>
      <c r="E527" s="11"/>
      <c r="F527" s="12"/>
      <c r="G527" s="11"/>
    </row>
    <row r="528" spans="1:7" ht="13.2" hidden="1">
      <c r="A528" s="11"/>
      <c r="B528" s="11"/>
      <c r="C528" s="11"/>
      <c r="D528" s="11"/>
      <c r="E528" s="11"/>
      <c r="F528" s="12"/>
      <c r="G528" s="11"/>
    </row>
    <row r="529" spans="1:7" ht="13.2" hidden="1">
      <c r="A529" s="11"/>
      <c r="B529" s="11"/>
      <c r="C529" s="11"/>
      <c r="D529" s="11"/>
      <c r="E529" s="11"/>
      <c r="F529" s="12"/>
      <c r="G529" s="11"/>
    </row>
    <row r="530" spans="1:7" ht="13.2" hidden="1">
      <c r="A530" s="11"/>
      <c r="B530" s="11"/>
      <c r="C530" s="11"/>
      <c r="D530" s="11"/>
      <c r="E530" s="11"/>
      <c r="F530" s="12"/>
      <c r="G530" s="11"/>
    </row>
    <row r="531" spans="1:7" ht="13.2" hidden="1">
      <c r="A531" s="11"/>
      <c r="B531" s="11"/>
      <c r="C531" s="11"/>
      <c r="D531" s="11"/>
      <c r="E531" s="11"/>
      <c r="F531" s="12"/>
      <c r="G531" s="11"/>
    </row>
    <row r="532" spans="1:7" ht="13.2" hidden="1">
      <c r="A532" s="11"/>
      <c r="B532" s="11"/>
      <c r="C532" s="11"/>
      <c r="D532" s="11"/>
      <c r="E532" s="11"/>
      <c r="F532" s="12"/>
      <c r="G532" s="11"/>
    </row>
    <row r="533" spans="1:7" ht="13.2" hidden="1">
      <c r="A533" s="11"/>
      <c r="B533" s="11"/>
      <c r="C533" s="11"/>
      <c r="D533" s="11"/>
      <c r="E533" s="11"/>
      <c r="F533" s="12"/>
      <c r="G533" s="11"/>
    </row>
    <row r="534" spans="1:7" ht="13.2" hidden="1">
      <c r="A534" s="11"/>
      <c r="B534" s="11"/>
      <c r="C534" s="11"/>
      <c r="D534" s="11"/>
      <c r="E534" s="11"/>
      <c r="F534" s="12"/>
      <c r="G534" s="11"/>
    </row>
    <row r="535" spans="1:7" ht="13.2" hidden="1">
      <c r="A535" s="11"/>
      <c r="B535" s="11"/>
      <c r="C535" s="11"/>
      <c r="D535" s="11"/>
      <c r="E535" s="11"/>
      <c r="F535" s="12"/>
      <c r="G535" s="11"/>
    </row>
    <row r="536" spans="1:7" ht="13.2" hidden="1">
      <c r="A536" s="11"/>
      <c r="B536" s="11"/>
      <c r="C536" s="11"/>
      <c r="D536" s="11"/>
      <c r="E536" s="11"/>
      <c r="F536" s="12"/>
      <c r="G536" s="11"/>
    </row>
    <row r="537" spans="1:7" ht="13.2" hidden="1">
      <c r="A537" s="11"/>
      <c r="B537" s="11"/>
      <c r="C537" s="11"/>
      <c r="D537" s="11"/>
      <c r="E537" s="11"/>
      <c r="F537" s="12"/>
      <c r="G537" s="11"/>
    </row>
    <row r="538" spans="1:7" ht="13.2" hidden="1">
      <c r="A538" s="11"/>
      <c r="B538" s="11"/>
      <c r="C538" s="11"/>
      <c r="D538" s="11"/>
      <c r="E538" s="11"/>
      <c r="F538" s="12"/>
      <c r="G538" s="11"/>
    </row>
    <row r="539" spans="1:7" ht="13.2" hidden="1">
      <c r="A539" s="11"/>
      <c r="B539" s="11"/>
      <c r="C539" s="11"/>
      <c r="D539" s="11"/>
      <c r="E539" s="11"/>
      <c r="F539" s="12"/>
      <c r="G539" s="11"/>
    </row>
    <row r="540" spans="1:7" ht="13.2" hidden="1">
      <c r="A540" s="11"/>
      <c r="B540" s="11"/>
      <c r="C540" s="11"/>
      <c r="D540" s="11"/>
      <c r="E540" s="11"/>
      <c r="F540" s="12"/>
      <c r="G540" s="11"/>
    </row>
    <row r="541" spans="1:7" ht="13.2" hidden="1">
      <c r="A541" s="11"/>
      <c r="B541" s="11"/>
      <c r="C541" s="11"/>
      <c r="D541" s="11"/>
      <c r="E541" s="11"/>
      <c r="F541" s="12"/>
      <c r="G541" s="11"/>
    </row>
    <row r="542" spans="1:7" ht="13.2" hidden="1">
      <c r="A542" s="11"/>
      <c r="B542" s="11"/>
      <c r="C542" s="11"/>
      <c r="D542" s="11"/>
      <c r="E542" s="11"/>
      <c r="F542" s="12"/>
      <c r="G542" s="11"/>
    </row>
    <row r="543" spans="1:7" ht="13.2" hidden="1">
      <c r="A543" s="11"/>
      <c r="B543" s="11"/>
      <c r="C543" s="11"/>
      <c r="D543" s="11"/>
      <c r="E543" s="11"/>
      <c r="F543" s="12"/>
      <c r="G543" s="11"/>
    </row>
    <row r="544" spans="1:7" ht="13.2" hidden="1">
      <c r="A544" s="11"/>
      <c r="B544" s="11"/>
      <c r="C544" s="11"/>
      <c r="D544" s="11"/>
      <c r="E544" s="11"/>
      <c r="F544" s="12"/>
      <c r="G544" s="11"/>
    </row>
    <row r="545" spans="1:7" ht="13.2" hidden="1">
      <c r="A545" s="11"/>
      <c r="B545" s="11"/>
      <c r="C545" s="11"/>
      <c r="D545" s="11"/>
      <c r="E545" s="11"/>
      <c r="F545" s="12"/>
      <c r="G545" s="11"/>
    </row>
    <row r="546" spans="1:7" ht="13.2" hidden="1">
      <c r="A546" s="11"/>
      <c r="B546" s="11"/>
      <c r="C546" s="11"/>
      <c r="D546" s="11"/>
      <c r="E546" s="11"/>
      <c r="F546" s="12"/>
      <c r="G546" s="11"/>
    </row>
    <row r="547" spans="1:7" ht="13.2" hidden="1">
      <c r="A547" s="11"/>
      <c r="B547" s="11"/>
      <c r="C547" s="11"/>
      <c r="D547" s="11"/>
      <c r="E547" s="11"/>
      <c r="F547" s="12"/>
      <c r="G547" s="11"/>
    </row>
    <row r="548" spans="1:7" ht="13.2" hidden="1">
      <c r="A548" s="11"/>
      <c r="B548" s="11"/>
      <c r="C548" s="11"/>
      <c r="D548" s="11"/>
      <c r="E548" s="11"/>
      <c r="F548" s="12"/>
      <c r="G548" s="11"/>
    </row>
    <row r="549" spans="1:7" ht="13.2" hidden="1">
      <c r="A549" s="11"/>
      <c r="B549" s="11"/>
      <c r="C549" s="11"/>
      <c r="D549" s="11"/>
      <c r="E549" s="11"/>
      <c r="F549" s="12"/>
      <c r="G549" s="11"/>
    </row>
    <row r="550" spans="1:7" ht="13.2" hidden="1">
      <c r="A550" s="11"/>
      <c r="B550" s="11"/>
      <c r="C550" s="11"/>
      <c r="D550" s="11"/>
      <c r="E550" s="11"/>
      <c r="F550" s="12"/>
      <c r="G550" s="11"/>
    </row>
    <row r="551" spans="1:7" ht="13.2" hidden="1">
      <c r="A551" s="11"/>
      <c r="B551" s="11"/>
      <c r="C551" s="11"/>
      <c r="D551" s="11"/>
      <c r="E551" s="11"/>
      <c r="F551" s="12"/>
      <c r="G551" s="11"/>
    </row>
    <row r="552" spans="1:7" ht="13.2" hidden="1">
      <c r="A552" s="11"/>
      <c r="B552" s="11"/>
      <c r="C552" s="11"/>
      <c r="D552" s="11"/>
      <c r="E552" s="11"/>
      <c r="F552" s="12"/>
      <c r="G552" s="11"/>
    </row>
    <row r="553" spans="1:7" ht="13.2" hidden="1">
      <c r="A553" s="11"/>
      <c r="B553" s="11"/>
      <c r="C553" s="11"/>
      <c r="D553" s="11"/>
      <c r="E553" s="11"/>
      <c r="F553" s="12"/>
      <c r="G553" s="11"/>
    </row>
    <row r="554" spans="1:7" ht="13.2" hidden="1">
      <c r="A554" s="11"/>
      <c r="B554" s="11"/>
      <c r="C554" s="11"/>
      <c r="D554" s="11"/>
      <c r="E554" s="11"/>
      <c r="F554" s="12"/>
      <c r="G554" s="11"/>
    </row>
    <row r="555" spans="1:7" ht="13.2" hidden="1">
      <c r="A555" s="11"/>
      <c r="B555" s="11"/>
      <c r="C555" s="11"/>
      <c r="D555" s="11"/>
      <c r="E555" s="11"/>
      <c r="F555" s="12"/>
      <c r="G555" s="11"/>
    </row>
    <row r="556" spans="1:7" ht="13.2" hidden="1">
      <c r="A556" s="11"/>
      <c r="B556" s="11"/>
      <c r="C556" s="11"/>
      <c r="D556" s="11"/>
      <c r="E556" s="11"/>
      <c r="F556" s="12"/>
      <c r="G556" s="11"/>
    </row>
    <row r="557" spans="1:7" ht="13.2" hidden="1">
      <c r="A557" s="11"/>
      <c r="B557" s="11"/>
      <c r="C557" s="11"/>
      <c r="D557" s="11"/>
      <c r="E557" s="11"/>
      <c r="F557" s="12"/>
      <c r="G557" s="11"/>
    </row>
    <row r="558" spans="1:7" ht="13.2" hidden="1">
      <c r="A558" s="11"/>
      <c r="B558" s="11"/>
      <c r="C558" s="11"/>
      <c r="D558" s="11"/>
      <c r="E558" s="11"/>
      <c r="F558" s="12"/>
      <c r="G558" s="11"/>
    </row>
    <row r="559" spans="1:7" ht="13.2" hidden="1">
      <c r="A559" s="11"/>
      <c r="B559" s="11"/>
      <c r="C559" s="11"/>
      <c r="D559" s="11"/>
      <c r="E559" s="11"/>
      <c r="F559" s="12"/>
      <c r="G559" s="11"/>
    </row>
    <row r="560" spans="1:7" ht="13.2" hidden="1">
      <c r="A560" s="11"/>
      <c r="B560" s="11"/>
      <c r="C560" s="11"/>
      <c r="D560" s="11"/>
      <c r="E560" s="11"/>
      <c r="F560" s="12"/>
      <c r="G560" s="11"/>
    </row>
    <row r="561" spans="1:7" ht="13.2" hidden="1">
      <c r="A561" s="11"/>
      <c r="B561" s="11"/>
      <c r="C561" s="11"/>
      <c r="D561" s="11"/>
      <c r="E561" s="11"/>
      <c r="F561" s="12"/>
      <c r="G561" s="11"/>
    </row>
    <row r="562" spans="1:7" ht="13.2" hidden="1">
      <c r="A562" s="11"/>
      <c r="B562" s="11"/>
      <c r="C562" s="11"/>
      <c r="D562" s="11"/>
      <c r="E562" s="11"/>
      <c r="F562" s="12"/>
      <c r="G562" s="11"/>
    </row>
    <row r="563" spans="1:7" ht="13.2" hidden="1">
      <c r="A563" s="11"/>
      <c r="B563" s="11"/>
      <c r="C563" s="11"/>
      <c r="D563" s="11"/>
      <c r="E563" s="11"/>
      <c r="F563" s="12"/>
      <c r="G563" s="11"/>
    </row>
    <row r="564" spans="1:7" ht="13.2" hidden="1">
      <c r="A564" s="11"/>
      <c r="B564" s="11"/>
      <c r="C564" s="11"/>
      <c r="D564" s="11"/>
      <c r="E564" s="11"/>
      <c r="F564" s="12"/>
      <c r="G564" s="11"/>
    </row>
    <row r="565" spans="1:7" ht="13.2" hidden="1">
      <c r="A565" s="11"/>
      <c r="B565" s="11"/>
      <c r="C565" s="11"/>
      <c r="D565" s="11"/>
      <c r="E565" s="11"/>
      <c r="F565" s="12"/>
      <c r="G565" s="11"/>
    </row>
    <row r="566" spans="1:7" ht="13.2" hidden="1">
      <c r="A566" s="11"/>
      <c r="B566" s="11"/>
      <c r="C566" s="11"/>
      <c r="D566" s="11"/>
      <c r="E566" s="11"/>
      <c r="F566" s="12"/>
      <c r="G566" s="11"/>
    </row>
    <row r="567" spans="1:7" ht="13.2" hidden="1">
      <c r="A567" s="11"/>
      <c r="B567" s="11"/>
      <c r="C567" s="11"/>
      <c r="D567" s="11"/>
      <c r="E567" s="11"/>
      <c r="F567" s="12"/>
      <c r="G567" s="11"/>
    </row>
    <row r="568" spans="1:7" ht="13.2" hidden="1">
      <c r="A568" s="11"/>
      <c r="B568" s="11"/>
      <c r="C568" s="11"/>
      <c r="D568" s="11"/>
      <c r="E568" s="11"/>
      <c r="F568" s="12"/>
      <c r="G568" s="11"/>
    </row>
    <row r="569" spans="1:7" ht="13.2" hidden="1">
      <c r="A569" s="11"/>
      <c r="B569" s="11"/>
      <c r="C569" s="11"/>
      <c r="D569" s="11"/>
      <c r="E569" s="11"/>
      <c r="F569" s="12"/>
      <c r="G569" s="11"/>
    </row>
    <row r="570" spans="1:7" ht="13.2" hidden="1">
      <c r="A570" s="11"/>
      <c r="B570" s="11"/>
      <c r="C570" s="11"/>
      <c r="D570" s="11"/>
      <c r="E570" s="11"/>
      <c r="F570" s="12"/>
      <c r="G570" s="11"/>
    </row>
    <row r="571" spans="1:7" ht="13.2" hidden="1">
      <c r="A571" s="11"/>
      <c r="B571" s="11"/>
      <c r="C571" s="11"/>
      <c r="D571" s="11"/>
      <c r="E571" s="11"/>
      <c r="F571" s="12"/>
      <c r="G571" s="11"/>
    </row>
    <row r="572" spans="1:7" ht="13.2" hidden="1">
      <c r="A572" s="11"/>
      <c r="B572" s="11"/>
      <c r="C572" s="11"/>
      <c r="D572" s="11"/>
      <c r="E572" s="11"/>
      <c r="F572" s="12"/>
      <c r="G572" s="11"/>
    </row>
    <row r="573" spans="1:7" ht="13.2" hidden="1">
      <c r="A573" s="11"/>
      <c r="B573" s="11"/>
      <c r="C573" s="11"/>
      <c r="D573" s="11"/>
      <c r="E573" s="11"/>
      <c r="F573" s="12"/>
      <c r="G573" s="11"/>
    </row>
    <row r="574" spans="1:7" ht="13.2" hidden="1">
      <c r="A574" s="11"/>
      <c r="B574" s="11"/>
      <c r="C574" s="11"/>
      <c r="D574" s="11"/>
      <c r="E574" s="11"/>
      <c r="F574" s="12"/>
      <c r="G574" s="11"/>
    </row>
    <row r="575" spans="1:7" ht="13.2" hidden="1">
      <c r="A575" s="11"/>
      <c r="B575" s="11"/>
      <c r="C575" s="11"/>
      <c r="D575" s="11"/>
      <c r="E575" s="11"/>
      <c r="F575" s="12"/>
      <c r="G575" s="11"/>
    </row>
    <row r="576" spans="1:7" ht="13.2" hidden="1">
      <c r="A576" s="11"/>
      <c r="B576" s="11"/>
      <c r="C576" s="11"/>
      <c r="D576" s="11"/>
      <c r="E576" s="11"/>
      <c r="F576" s="12"/>
      <c r="G576" s="11"/>
    </row>
    <row r="577" spans="1:7" ht="13.2" hidden="1">
      <c r="A577" s="11"/>
      <c r="B577" s="11"/>
      <c r="C577" s="11"/>
      <c r="D577" s="11"/>
      <c r="E577" s="11"/>
      <c r="F577" s="12"/>
      <c r="G577" s="11"/>
    </row>
    <row r="578" spans="1:7" ht="13.2" hidden="1">
      <c r="A578" s="11"/>
      <c r="B578" s="11"/>
      <c r="C578" s="11"/>
      <c r="D578" s="11"/>
      <c r="E578" s="11"/>
      <c r="F578" s="12"/>
      <c r="G578" s="11"/>
    </row>
    <row r="579" spans="1:7" ht="13.2" hidden="1">
      <c r="A579" s="11"/>
      <c r="B579" s="11"/>
      <c r="C579" s="11"/>
      <c r="D579" s="11"/>
      <c r="E579" s="11"/>
      <c r="F579" s="12"/>
      <c r="G579" s="11"/>
    </row>
    <row r="580" spans="1:7" ht="13.2" hidden="1">
      <c r="A580" s="11"/>
      <c r="B580" s="11"/>
      <c r="C580" s="11"/>
      <c r="D580" s="11"/>
      <c r="E580" s="11"/>
      <c r="F580" s="12"/>
      <c r="G580" s="11"/>
    </row>
    <row r="581" spans="1:7" ht="13.2" hidden="1">
      <c r="A581" s="11"/>
      <c r="B581" s="11"/>
      <c r="C581" s="11"/>
      <c r="D581" s="11"/>
      <c r="E581" s="11"/>
      <c r="F581" s="12"/>
      <c r="G581" s="11"/>
    </row>
    <row r="582" spans="1:7" ht="13.2" hidden="1">
      <c r="A582" s="11"/>
      <c r="B582" s="11"/>
      <c r="C582" s="11"/>
      <c r="D582" s="11"/>
      <c r="E582" s="11"/>
      <c r="F582" s="12"/>
      <c r="G582" s="11"/>
    </row>
    <row r="583" spans="1:7" ht="13.2" hidden="1">
      <c r="A583" s="11"/>
      <c r="B583" s="11"/>
      <c r="C583" s="11"/>
      <c r="D583" s="11"/>
      <c r="E583" s="11"/>
      <c r="F583" s="12"/>
      <c r="G583" s="11"/>
    </row>
    <row r="584" spans="1:7" ht="13.2" hidden="1">
      <c r="A584" s="11"/>
      <c r="B584" s="11"/>
      <c r="C584" s="11"/>
      <c r="D584" s="11"/>
      <c r="E584" s="11"/>
      <c r="F584" s="12"/>
      <c r="G584" s="11"/>
    </row>
    <row r="585" spans="1:7" ht="13.2" hidden="1">
      <c r="A585" s="11"/>
      <c r="B585" s="11"/>
      <c r="C585" s="11"/>
      <c r="D585" s="11"/>
      <c r="E585" s="11"/>
      <c r="F585" s="12"/>
      <c r="G585" s="11"/>
    </row>
    <row r="586" spans="1:7" ht="13.2" hidden="1">
      <c r="A586" s="11"/>
      <c r="B586" s="11"/>
      <c r="C586" s="11"/>
      <c r="D586" s="11"/>
      <c r="E586" s="11"/>
      <c r="F586" s="12"/>
      <c r="G586" s="11"/>
    </row>
    <row r="587" spans="1:7" ht="13.2" hidden="1">
      <c r="A587" s="11"/>
      <c r="B587" s="11"/>
      <c r="C587" s="11"/>
      <c r="D587" s="11"/>
      <c r="E587" s="11"/>
      <c r="F587" s="12"/>
      <c r="G587" s="11"/>
    </row>
    <row r="588" spans="1:7" ht="13.2" hidden="1">
      <c r="A588" s="11"/>
      <c r="B588" s="11"/>
      <c r="C588" s="11"/>
      <c r="D588" s="11"/>
      <c r="E588" s="11"/>
      <c r="F588" s="12"/>
      <c r="G588" s="11"/>
    </row>
    <row r="589" spans="1:7" ht="13.2" hidden="1">
      <c r="A589" s="11"/>
      <c r="B589" s="11"/>
      <c r="C589" s="11"/>
      <c r="D589" s="11"/>
      <c r="E589" s="11"/>
      <c r="F589" s="12"/>
      <c r="G589" s="11"/>
    </row>
    <row r="590" spans="1:7" ht="13.2" hidden="1">
      <c r="A590" s="11"/>
      <c r="B590" s="11"/>
      <c r="C590" s="11"/>
      <c r="D590" s="11"/>
      <c r="E590" s="11"/>
      <c r="F590" s="12"/>
      <c r="G590" s="11"/>
    </row>
    <row r="591" spans="1:7" ht="13.2" hidden="1">
      <c r="A591" s="11"/>
      <c r="B591" s="11"/>
      <c r="C591" s="11"/>
      <c r="D591" s="11"/>
      <c r="E591" s="11"/>
      <c r="F591" s="12"/>
      <c r="G591" s="11"/>
    </row>
    <row r="592" spans="1:7" ht="13.2" hidden="1">
      <c r="A592" s="11"/>
      <c r="B592" s="11"/>
      <c r="C592" s="11"/>
      <c r="D592" s="11"/>
      <c r="E592" s="11"/>
      <c r="F592" s="12"/>
      <c r="G592" s="11"/>
    </row>
    <row r="593" spans="1:7" ht="13.2" hidden="1">
      <c r="A593" s="11"/>
      <c r="B593" s="11"/>
      <c r="C593" s="11"/>
      <c r="D593" s="11"/>
      <c r="E593" s="11"/>
      <c r="F593" s="12"/>
      <c r="G593" s="11"/>
    </row>
    <row r="594" spans="1:7" ht="13.2" hidden="1">
      <c r="A594" s="11"/>
      <c r="B594" s="11"/>
      <c r="C594" s="11"/>
      <c r="D594" s="11"/>
      <c r="E594" s="11"/>
      <c r="F594" s="12"/>
      <c r="G594" s="11"/>
    </row>
    <row r="595" spans="1:7" ht="13.2" hidden="1">
      <c r="A595" s="11"/>
      <c r="B595" s="11"/>
      <c r="C595" s="11"/>
      <c r="D595" s="11"/>
      <c r="E595" s="11"/>
      <c r="F595" s="12"/>
      <c r="G595" s="11"/>
    </row>
    <row r="596" spans="1:7" ht="13.2" hidden="1">
      <c r="A596" s="11"/>
      <c r="B596" s="11"/>
      <c r="C596" s="11"/>
      <c r="D596" s="11"/>
      <c r="E596" s="11"/>
      <c r="F596" s="12"/>
      <c r="G596" s="11"/>
    </row>
    <row r="597" spans="1:7" ht="13.2" hidden="1">
      <c r="A597" s="11"/>
      <c r="B597" s="11"/>
      <c r="C597" s="11"/>
      <c r="D597" s="11"/>
      <c r="E597" s="11"/>
      <c r="F597" s="12"/>
      <c r="G597" s="11"/>
    </row>
    <row r="598" spans="1:7" ht="13.2" hidden="1">
      <c r="A598" s="11"/>
      <c r="B598" s="11"/>
      <c r="C598" s="11"/>
      <c r="D598" s="11"/>
      <c r="E598" s="11"/>
      <c r="F598" s="12"/>
      <c r="G598" s="11"/>
    </row>
    <row r="599" spans="1:7" ht="13.2" hidden="1">
      <c r="A599" s="11"/>
      <c r="B599" s="11"/>
      <c r="C599" s="11"/>
      <c r="D599" s="11"/>
      <c r="E599" s="11"/>
      <c r="F599" s="12"/>
      <c r="G599" s="11"/>
    </row>
    <row r="600" spans="1:7" ht="13.2" hidden="1">
      <c r="A600" s="11"/>
      <c r="B600" s="11"/>
      <c r="C600" s="11"/>
      <c r="D600" s="11"/>
      <c r="E600" s="11"/>
      <c r="F600" s="12"/>
      <c r="G600" s="11"/>
    </row>
    <row r="601" spans="1:7" ht="13.2" hidden="1">
      <c r="A601" s="11"/>
      <c r="B601" s="11"/>
      <c r="C601" s="11"/>
      <c r="D601" s="11"/>
      <c r="E601" s="11"/>
      <c r="F601" s="12"/>
      <c r="G601" s="11"/>
    </row>
    <row r="602" spans="1:7" ht="13.2" hidden="1">
      <c r="A602" s="11"/>
      <c r="B602" s="11"/>
      <c r="C602" s="11"/>
      <c r="D602" s="11"/>
      <c r="E602" s="11"/>
      <c r="F602" s="12"/>
      <c r="G602" s="11"/>
    </row>
    <row r="603" spans="1:7" ht="13.2" hidden="1">
      <c r="A603" s="11"/>
      <c r="B603" s="11"/>
      <c r="C603" s="11"/>
      <c r="D603" s="11"/>
      <c r="E603" s="11"/>
      <c r="F603" s="12"/>
      <c r="G603" s="11"/>
    </row>
    <row r="604" spans="1:7" ht="13.2" hidden="1">
      <c r="A604" s="11"/>
      <c r="B604" s="11"/>
      <c r="C604" s="11"/>
      <c r="D604" s="11"/>
      <c r="E604" s="11"/>
      <c r="F604" s="12"/>
      <c r="G604" s="11"/>
    </row>
    <row r="605" spans="1:7" ht="13.2" hidden="1">
      <c r="A605" s="11"/>
      <c r="B605" s="11"/>
      <c r="C605" s="11"/>
      <c r="D605" s="11"/>
      <c r="E605" s="11"/>
      <c r="F605" s="12"/>
      <c r="G605" s="11"/>
    </row>
    <row r="606" spans="1:7" ht="13.2" hidden="1">
      <c r="A606" s="11"/>
      <c r="B606" s="11"/>
      <c r="C606" s="11"/>
      <c r="D606" s="11"/>
      <c r="E606" s="11"/>
      <c r="F606" s="12"/>
      <c r="G606" s="11"/>
    </row>
    <row r="607" spans="1:7" ht="13.2" hidden="1">
      <c r="A607" s="11"/>
      <c r="B607" s="11"/>
      <c r="C607" s="11"/>
      <c r="D607" s="11"/>
      <c r="E607" s="11"/>
      <c r="F607" s="12"/>
      <c r="G607" s="11"/>
    </row>
    <row r="608" spans="1:7" ht="13.2" hidden="1">
      <c r="A608" s="11"/>
      <c r="B608" s="11"/>
      <c r="C608" s="11"/>
      <c r="D608" s="11"/>
      <c r="E608" s="11"/>
      <c r="F608" s="12"/>
      <c r="G608" s="11"/>
    </row>
    <row r="609" spans="1:7" ht="13.2" hidden="1">
      <c r="A609" s="11"/>
      <c r="B609" s="11"/>
      <c r="C609" s="11"/>
      <c r="D609" s="11"/>
      <c r="E609" s="11"/>
      <c r="F609" s="12"/>
      <c r="G609" s="11"/>
    </row>
    <row r="610" spans="1:7" ht="13.2" hidden="1">
      <c r="A610" s="11"/>
      <c r="B610" s="11"/>
      <c r="C610" s="11"/>
      <c r="D610" s="11"/>
      <c r="E610" s="11"/>
      <c r="F610" s="12"/>
      <c r="G610" s="11"/>
    </row>
    <row r="611" spans="1:7" ht="13.2" hidden="1">
      <c r="A611" s="11"/>
      <c r="B611" s="11"/>
      <c r="C611" s="11"/>
      <c r="D611" s="11"/>
      <c r="E611" s="11"/>
      <c r="F611" s="12"/>
      <c r="G611" s="11"/>
    </row>
    <row r="612" spans="1:7" ht="13.2" hidden="1">
      <c r="A612" s="11"/>
      <c r="B612" s="11"/>
      <c r="C612" s="11"/>
      <c r="D612" s="11"/>
      <c r="E612" s="11"/>
      <c r="F612" s="12"/>
      <c r="G612" s="11"/>
    </row>
    <row r="613" spans="1:7" ht="13.2" hidden="1">
      <c r="A613" s="11"/>
      <c r="B613" s="11"/>
      <c r="C613" s="11"/>
      <c r="D613" s="11"/>
      <c r="E613" s="11"/>
      <c r="F613" s="12"/>
      <c r="G613" s="11"/>
    </row>
    <row r="614" spans="1:7" ht="13.2" hidden="1">
      <c r="A614" s="11"/>
      <c r="B614" s="11"/>
      <c r="C614" s="11"/>
      <c r="D614" s="11"/>
      <c r="E614" s="11"/>
      <c r="F614" s="12"/>
      <c r="G614" s="11"/>
    </row>
    <row r="615" spans="1:7" ht="13.2" hidden="1">
      <c r="A615" s="11"/>
      <c r="B615" s="11"/>
      <c r="C615" s="11"/>
      <c r="D615" s="11"/>
      <c r="E615" s="11"/>
      <c r="F615" s="12"/>
      <c r="G615" s="11"/>
    </row>
    <row r="616" spans="1:7" ht="13.2" hidden="1">
      <c r="A616" s="11"/>
      <c r="B616" s="11"/>
      <c r="C616" s="11"/>
      <c r="D616" s="11"/>
      <c r="E616" s="11"/>
      <c r="F616" s="12"/>
      <c r="G616" s="11"/>
    </row>
    <row r="617" spans="1:7" ht="13.2" hidden="1">
      <c r="A617" s="11"/>
      <c r="B617" s="11"/>
      <c r="C617" s="11"/>
      <c r="D617" s="11"/>
      <c r="E617" s="11"/>
      <c r="F617" s="12"/>
      <c r="G617" s="11"/>
    </row>
    <row r="618" spans="1:7" ht="13.2" hidden="1">
      <c r="A618" s="11"/>
      <c r="B618" s="11"/>
      <c r="C618" s="11"/>
      <c r="D618" s="11"/>
      <c r="E618" s="11"/>
      <c r="F618" s="12"/>
      <c r="G618" s="11"/>
    </row>
    <row r="619" spans="1:7" ht="13.2" hidden="1">
      <c r="A619" s="11"/>
      <c r="B619" s="11"/>
      <c r="C619" s="11"/>
      <c r="D619" s="11"/>
      <c r="E619" s="11"/>
      <c r="F619" s="12"/>
      <c r="G619" s="11"/>
    </row>
    <row r="620" spans="1:7" ht="13.2" hidden="1">
      <c r="A620" s="11"/>
      <c r="B620" s="11"/>
      <c r="C620" s="11"/>
      <c r="D620" s="11"/>
      <c r="E620" s="11"/>
      <c r="F620" s="12"/>
      <c r="G620" s="11"/>
    </row>
    <row r="621" spans="1:7" ht="13.2" hidden="1">
      <c r="A621" s="11"/>
      <c r="B621" s="11"/>
      <c r="C621" s="11"/>
      <c r="D621" s="11"/>
      <c r="E621" s="11"/>
      <c r="F621" s="12"/>
      <c r="G621" s="11"/>
    </row>
    <row r="622" spans="1:7" ht="13.2" hidden="1">
      <c r="A622" s="11"/>
      <c r="B622" s="11"/>
      <c r="C622" s="11"/>
      <c r="D622" s="11"/>
      <c r="E622" s="11"/>
      <c r="F622" s="12"/>
      <c r="G622" s="11"/>
    </row>
    <row r="623" spans="1:7" ht="13.2" hidden="1">
      <c r="A623" s="11"/>
      <c r="B623" s="11"/>
      <c r="C623" s="11"/>
      <c r="D623" s="11"/>
      <c r="E623" s="11"/>
      <c r="F623" s="12"/>
      <c r="G623" s="11"/>
    </row>
    <row r="624" spans="1:7" ht="13.2" hidden="1">
      <c r="A624" s="11"/>
      <c r="B624" s="11"/>
      <c r="C624" s="11"/>
      <c r="D624" s="11"/>
      <c r="E624" s="11"/>
      <c r="F624" s="12"/>
      <c r="G624" s="11"/>
    </row>
    <row r="625" spans="1:7" ht="13.2" hidden="1">
      <c r="A625" s="11"/>
      <c r="B625" s="11"/>
      <c r="C625" s="11"/>
      <c r="D625" s="11"/>
      <c r="E625" s="11"/>
      <c r="F625" s="12"/>
      <c r="G625" s="11"/>
    </row>
    <row r="626" spans="1:7" ht="13.2" hidden="1">
      <c r="A626" s="11"/>
      <c r="B626" s="11"/>
      <c r="C626" s="11"/>
      <c r="D626" s="11"/>
      <c r="E626" s="11"/>
      <c r="F626" s="12"/>
      <c r="G626" s="11"/>
    </row>
    <row r="627" spans="1:7" ht="13.2" hidden="1">
      <c r="A627" s="11"/>
      <c r="B627" s="11"/>
      <c r="C627" s="11"/>
      <c r="D627" s="11"/>
      <c r="E627" s="11"/>
      <c r="F627" s="12"/>
      <c r="G627" s="11"/>
    </row>
    <row r="628" spans="1:7" ht="13.2" hidden="1">
      <c r="A628" s="11"/>
      <c r="B628" s="11"/>
      <c r="C628" s="11"/>
      <c r="D628" s="11"/>
      <c r="E628" s="11"/>
      <c r="F628" s="12"/>
      <c r="G628" s="11"/>
    </row>
    <row r="629" spans="1:7" ht="13.2" hidden="1">
      <c r="A629" s="11"/>
      <c r="B629" s="11"/>
      <c r="C629" s="11"/>
      <c r="D629" s="11"/>
      <c r="E629" s="11"/>
      <c r="F629" s="12"/>
      <c r="G629" s="11"/>
    </row>
    <row r="630" spans="1:7" ht="13.2" hidden="1">
      <c r="A630" s="11"/>
      <c r="B630" s="11"/>
      <c r="C630" s="11"/>
      <c r="D630" s="11"/>
      <c r="E630" s="11"/>
      <c r="F630" s="12"/>
      <c r="G630" s="11"/>
    </row>
    <row r="631" spans="1:7" ht="13.2" hidden="1">
      <c r="A631" s="11"/>
      <c r="B631" s="11"/>
      <c r="C631" s="11"/>
      <c r="D631" s="11"/>
      <c r="E631" s="11"/>
      <c r="F631" s="12"/>
      <c r="G631" s="11"/>
    </row>
    <row r="632" spans="1:7" ht="13.2" hidden="1">
      <c r="A632" s="11"/>
      <c r="B632" s="11"/>
      <c r="C632" s="11"/>
      <c r="D632" s="11"/>
      <c r="E632" s="11"/>
      <c r="F632" s="12"/>
      <c r="G632" s="11"/>
    </row>
    <row r="633" spans="1:7" ht="13.2" hidden="1">
      <c r="A633" s="11"/>
      <c r="B633" s="11"/>
      <c r="C633" s="11"/>
      <c r="D633" s="11"/>
      <c r="E633" s="11"/>
      <c r="F633" s="12"/>
      <c r="G633" s="11"/>
    </row>
    <row r="634" spans="1:7" ht="13.2" hidden="1">
      <c r="A634" s="11"/>
      <c r="B634" s="11"/>
      <c r="C634" s="11"/>
      <c r="D634" s="11"/>
      <c r="E634" s="11"/>
      <c r="F634" s="12"/>
      <c r="G634" s="11"/>
    </row>
    <row r="635" spans="1:7" ht="13.2" hidden="1">
      <c r="A635" s="11"/>
      <c r="B635" s="11"/>
      <c r="C635" s="11"/>
      <c r="D635" s="11"/>
      <c r="E635" s="11"/>
      <c r="F635" s="12"/>
      <c r="G635" s="11"/>
    </row>
    <row r="636" spans="1:7" ht="13.2" hidden="1">
      <c r="A636" s="11"/>
      <c r="B636" s="11"/>
      <c r="C636" s="11"/>
      <c r="D636" s="11"/>
      <c r="E636" s="11"/>
      <c r="F636" s="12"/>
      <c r="G636" s="11"/>
    </row>
    <row r="637" spans="1:7" ht="13.2" hidden="1">
      <c r="A637" s="11"/>
      <c r="B637" s="11"/>
      <c r="C637" s="11"/>
      <c r="D637" s="11"/>
      <c r="E637" s="11"/>
      <c r="F637" s="12"/>
      <c r="G637" s="11"/>
    </row>
    <row r="638" spans="1:7" ht="13.2" hidden="1">
      <c r="A638" s="11"/>
      <c r="B638" s="11"/>
      <c r="C638" s="11"/>
      <c r="D638" s="11"/>
      <c r="E638" s="11"/>
      <c r="F638" s="12"/>
      <c r="G638" s="11"/>
    </row>
    <row r="639" spans="1:7" ht="13.2" hidden="1">
      <c r="A639" s="11"/>
      <c r="B639" s="11"/>
      <c r="C639" s="11"/>
      <c r="D639" s="11"/>
      <c r="E639" s="11"/>
      <c r="F639" s="12"/>
      <c r="G639" s="11"/>
    </row>
    <row r="640" spans="1:7" ht="13.2" hidden="1">
      <c r="A640" s="11"/>
      <c r="B640" s="11"/>
      <c r="C640" s="11"/>
      <c r="D640" s="11"/>
      <c r="E640" s="11"/>
      <c r="F640" s="12"/>
      <c r="G640" s="11"/>
    </row>
    <row r="641" spans="1:7" ht="13.2" hidden="1">
      <c r="A641" s="11"/>
      <c r="B641" s="11"/>
      <c r="C641" s="11"/>
      <c r="D641" s="11"/>
      <c r="E641" s="11"/>
      <c r="F641" s="12"/>
      <c r="G641" s="11"/>
    </row>
    <row r="642" spans="1:7" ht="13.2" hidden="1">
      <c r="A642" s="11"/>
      <c r="B642" s="11"/>
      <c r="C642" s="11"/>
      <c r="D642" s="11"/>
      <c r="E642" s="11"/>
      <c r="F642" s="12"/>
      <c r="G642" s="11"/>
    </row>
    <row r="643" spans="1:7" ht="13.2" hidden="1">
      <c r="A643" s="11"/>
      <c r="B643" s="11"/>
      <c r="C643" s="11"/>
      <c r="D643" s="11"/>
      <c r="E643" s="11"/>
      <c r="F643" s="12"/>
      <c r="G643" s="11"/>
    </row>
    <row r="644" spans="1:7" ht="13.2" hidden="1">
      <c r="A644" s="11"/>
      <c r="B644" s="11"/>
      <c r="C644" s="11"/>
      <c r="D644" s="11"/>
      <c r="E644" s="11"/>
      <c r="F644" s="12"/>
      <c r="G644" s="11"/>
    </row>
    <row r="645" spans="1:7" ht="13.2" hidden="1">
      <c r="A645" s="11"/>
      <c r="B645" s="11"/>
      <c r="C645" s="11"/>
      <c r="D645" s="11"/>
      <c r="E645" s="11"/>
      <c r="F645" s="12"/>
      <c r="G645" s="11"/>
    </row>
    <row r="646" spans="1:7" ht="13.2" hidden="1">
      <c r="A646" s="11"/>
      <c r="B646" s="11"/>
      <c r="C646" s="11"/>
      <c r="D646" s="11"/>
      <c r="E646" s="11"/>
      <c r="F646" s="12"/>
      <c r="G646" s="11"/>
    </row>
    <row r="647" spans="1:7" ht="13.2" hidden="1">
      <c r="A647" s="11"/>
      <c r="B647" s="11"/>
      <c r="C647" s="11"/>
      <c r="D647" s="11"/>
      <c r="E647" s="11"/>
      <c r="F647" s="12"/>
      <c r="G647" s="11"/>
    </row>
    <row r="648" spans="1:7" ht="13.2" hidden="1">
      <c r="A648" s="11"/>
      <c r="B648" s="11"/>
      <c r="C648" s="11"/>
      <c r="D648" s="11"/>
      <c r="E648" s="11"/>
      <c r="F648" s="12"/>
      <c r="G648" s="11"/>
    </row>
    <row r="649" spans="1:7" ht="13.2" hidden="1">
      <c r="A649" s="11"/>
      <c r="B649" s="11"/>
      <c r="C649" s="11"/>
      <c r="D649" s="11"/>
      <c r="E649" s="11"/>
      <c r="F649" s="12"/>
      <c r="G649" s="11"/>
    </row>
    <row r="650" spans="1:7" ht="13.2" hidden="1">
      <c r="A650" s="11"/>
      <c r="B650" s="11"/>
      <c r="C650" s="11"/>
      <c r="D650" s="11"/>
      <c r="E650" s="11"/>
      <c r="F650" s="12"/>
      <c r="G650" s="11"/>
    </row>
    <row r="651" spans="1:7" ht="13.2" hidden="1">
      <c r="A651" s="11"/>
      <c r="B651" s="11"/>
      <c r="C651" s="11"/>
      <c r="D651" s="11"/>
      <c r="E651" s="11"/>
      <c r="F651" s="12"/>
      <c r="G651" s="11"/>
    </row>
    <row r="652" spans="1:7" ht="13.2" hidden="1">
      <c r="A652" s="11"/>
      <c r="B652" s="11"/>
      <c r="C652" s="11"/>
      <c r="D652" s="11"/>
      <c r="E652" s="11"/>
      <c r="F652" s="12"/>
      <c r="G652" s="11"/>
    </row>
    <row r="653" spans="1:7" ht="13.2" hidden="1">
      <c r="A653" s="11"/>
      <c r="B653" s="11"/>
      <c r="C653" s="11"/>
      <c r="D653" s="11"/>
      <c r="E653" s="11"/>
      <c r="F653" s="12"/>
      <c r="G653" s="11"/>
    </row>
    <row r="654" spans="1:7" ht="13.2" hidden="1">
      <c r="A654" s="11"/>
      <c r="B654" s="11"/>
      <c r="C654" s="11"/>
      <c r="D654" s="11"/>
      <c r="E654" s="11"/>
      <c r="F654" s="12"/>
      <c r="G654" s="11"/>
    </row>
    <row r="655" spans="1:7" ht="13.2" hidden="1">
      <c r="A655" s="11"/>
      <c r="B655" s="11"/>
      <c r="C655" s="11"/>
      <c r="D655" s="11"/>
      <c r="E655" s="11"/>
      <c r="F655" s="12"/>
      <c r="G655" s="11"/>
    </row>
    <row r="656" spans="1:7" ht="13.2" hidden="1">
      <c r="A656" s="11"/>
      <c r="B656" s="11"/>
      <c r="C656" s="11"/>
      <c r="D656" s="11"/>
      <c r="E656" s="11"/>
      <c r="F656" s="12"/>
      <c r="G656" s="11"/>
    </row>
    <row r="657" spans="1:7" ht="13.2" hidden="1">
      <c r="A657" s="11"/>
      <c r="B657" s="11"/>
      <c r="C657" s="11"/>
      <c r="D657" s="11"/>
      <c r="E657" s="11"/>
      <c r="F657" s="12"/>
      <c r="G657" s="11"/>
    </row>
    <row r="658" spans="1:7" ht="13.2" hidden="1">
      <c r="A658" s="11"/>
      <c r="B658" s="11"/>
      <c r="C658" s="11"/>
      <c r="D658" s="11"/>
      <c r="E658" s="11"/>
      <c r="F658" s="12"/>
      <c r="G658" s="11"/>
    </row>
    <row r="659" spans="1:7" ht="13.2" hidden="1">
      <c r="A659" s="11"/>
      <c r="B659" s="11"/>
      <c r="C659" s="11"/>
      <c r="D659" s="11"/>
      <c r="E659" s="11"/>
      <c r="F659" s="12"/>
      <c r="G659" s="11"/>
    </row>
    <row r="660" spans="1:7" ht="13.2" hidden="1">
      <c r="A660" s="11"/>
      <c r="B660" s="11"/>
      <c r="C660" s="11"/>
      <c r="D660" s="11"/>
      <c r="E660" s="11"/>
      <c r="F660" s="12"/>
      <c r="G660" s="11"/>
    </row>
    <row r="661" spans="1:7" ht="13.2" hidden="1">
      <c r="A661" s="11"/>
      <c r="B661" s="11"/>
      <c r="C661" s="11"/>
      <c r="D661" s="11"/>
      <c r="E661" s="11"/>
      <c r="F661" s="12"/>
      <c r="G661" s="11"/>
    </row>
    <row r="662" spans="1:7" ht="13.2" hidden="1">
      <c r="A662" s="11"/>
      <c r="B662" s="11"/>
      <c r="C662" s="11"/>
      <c r="D662" s="11"/>
      <c r="E662" s="11"/>
      <c r="F662" s="12"/>
      <c r="G662" s="11"/>
    </row>
    <row r="663" spans="1:7" ht="13.2" hidden="1">
      <c r="A663" s="11"/>
      <c r="B663" s="11"/>
      <c r="C663" s="11"/>
      <c r="D663" s="11"/>
      <c r="E663" s="11"/>
      <c r="F663" s="12"/>
      <c r="G663" s="11"/>
    </row>
    <row r="664" spans="1:7" ht="13.2" hidden="1">
      <c r="A664" s="11"/>
      <c r="B664" s="11"/>
      <c r="C664" s="11"/>
      <c r="D664" s="11"/>
      <c r="E664" s="11"/>
      <c r="F664" s="12"/>
      <c r="G664" s="11"/>
    </row>
    <row r="665" spans="1:7" ht="13.2" hidden="1">
      <c r="A665" s="11"/>
      <c r="B665" s="11"/>
      <c r="C665" s="11"/>
      <c r="D665" s="11"/>
      <c r="E665" s="11"/>
      <c r="F665" s="12"/>
      <c r="G665" s="11"/>
    </row>
    <row r="666" spans="1:7" ht="13.2" hidden="1">
      <c r="A666" s="11"/>
      <c r="B666" s="11"/>
      <c r="C666" s="11"/>
      <c r="D666" s="11"/>
      <c r="E666" s="11"/>
      <c r="F666" s="12"/>
      <c r="G666" s="11"/>
    </row>
    <row r="667" spans="1:7" ht="13.2" hidden="1">
      <c r="A667" s="11"/>
      <c r="B667" s="11"/>
      <c r="C667" s="11"/>
      <c r="D667" s="11"/>
      <c r="E667" s="11"/>
      <c r="F667" s="12"/>
      <c r="G667" s="11"/>
    </row>
    <row r="668" spans="1:7" ht="13.2" hidden="1">
      <c r="A668" s="11"/>
      <c r="B668" s="11"/>
      <c r="C668" s="11"/>
      <c r="D668" s="11"/>
      <c r="E668" s="11"/>
      <c r="F668" s="12"/>
      <c r="G668" s="11"/>
    </row>
    <row r="669" spans="1:7" ht="13.2" hidden="1">
      <c r="A669" s="11"/>
      <c r="B669" s="11"/>
      <c r="C669" s="11"/>
      <c r="D669" s="11"/>
      <c r="E669" s="11"/>
      <c r="F669" s="12"/>
      <c r="G669" s="11"/>
    </row>
    <row r="670" spans="1:7" ht="13.2" hidden="1">
      <c r="A670" s="11"/>
      <c r="B670" s="11"/>
      <c r="C670" s="11"/>
      <c r="D670" s="11"/>
      <c r="E670" s="11"/>
      <c r="F670" s="12"/>
      <c r="G670" s="11"/>
    </row>
    <row r="671" spans="1:7" ht="13.2" hidden="1">
      <c r="A671" s="11"/>
      <c r="B671" s="11"/>
      <c r="C671" s="11"/>
      <c r="D671" s="11"/>
      <c r="E671" s="11"/>
      <c r="F671" s="12"/>
      <c r="G671" s="11"/>
    </row>
    <row r="672" spans="1:7" ht="13.2" hidden="1">
      <c r="A672" s="11"/>
      <c r="B672" s="11"/>
      <c r="C672" s="11"/>
      <c r="D672" s="11"/>
      <c r="E672" s="11"/>
      <c r="F672" s="12"/>
      <c r="G672" s="11"/>
    </row>
    <row r="673" spans="1:7" ht="13.2" hidden="1">
      <c r="A673" s="11"/>
      <c r="B673" s="11"/>
      <c r="C673" s="11"/>
      <c r="D673" s="11"/>
      <c r="E673" s="11"/>
      <c r="F673" s="12"/>
      <c r="G673" s="11"/>
    </row>
    <row r="674" spans="1:7" ht="13.2" hidden="1">
      <c r="A674" s="11"/>
      <c r="B674" s="11"/>
      <c r="C674" s="11"/>
      <c r="D674" s="11"/>
      <c r="E674" s="11"/>
      <c r="F674" s="12"/>
      <c r="G674" s="11"/>
    </row>
    <row r="675" spans="1:7" ht="13.2" hidden="1">
      <c r="A675" s="11"/>
      <c r="B675" s="11"/>
      <c r="C675" s="11"/>
      <c r="D675" s="11"/>
      <c r="E675" s="11"/>
      <c r="F675" s="12"/>
      <c r="G675" s="11"/>
    </row>
    <row r="676" spans="1:7" ht="13.2" hidden="1">
      <c r="A676" s="11"/>
      <c r="B676" s="11"/>
      <c r="C676" s="11"/>
      <c r="D676" s="11"/>
      <c r="E676" s="11"/>
      <c r="F676" s="12"/>
      <c r="G676" s="11"/>
    </row>
    <row r="677" spans="1:7" ht="13.2" hidden="1">
      <c r="A677" s="11"/>
      <c r="B677" s="11"/>
      <c r="C677" s="11"/>
      <c r="D677" s="11"/>
      <c r="E677" s="11"/>
      <c r="F677" s="12"/>
      <c r="G677" s="11"/>
    </row>
    <row r="678" spans="1:7" ht="13.2" hidden="1">
      <c r="A678" s="11"/>
      <c r="B678" s="11"/>
      <c r="C678" s="11"/>
      <c r="D678" s="11"/>
      <c r="E678" s="11"/>
      <c r="F678" s="12"/>
      <c r="G678" s="11"/>
    </row>
    <row r="679" spans="1:7" ht="13.2" hidden="1">
      <c r="A679" s="11"/>
      <c r="B679" s="11"/>
      <c r="C679" s="11"/>
      <c r="D679" s="11"/>
      <c r="E679" s="11"/>
      <c r="F679" s="12"/>
      <c r="G679" s="11"/>
    </row>
    <row r="680" spans="1:7" ht="13.2" hidden="1">
      <c r="A680" s="11"/>
      <c r="B680" s="11"/>
      <c r="C680" s="11"/>
      <c r="D680" s="11"/>
      <c r="E680" s="11"/>
      <c r="F680" s="12"/>
      <c r="G680" s="11"/>
    </row>
    <row r="681" spans="1:7" ht="13.2" hidden="1">
      <c r="A681" s="11"/>
      <c r="B681" s="11"/>
      <c r="C681" s="11"/>
      <c r="D681" s="11"/>
      <c r="E681" s="11"/>
      <c r="F681" s="12"/>
      <c r="G681" s="11"/>
    </row>
    <row r="682" spans="1:7" ht="13.2" hidden="1">
      <c r="A682" s="11"/>
      <c r="B682" s="11"/>
      <c r="C682" s="11"/>
      <c r="D682" s="11"/>
      <c r="E682" s="11"/>
      <c r="F682" s="12"/>
      <c r="G682" s="11"/>
    </row>
    <row r="683" spans="1:7" ht="13.2" hidden="1">
      <c r="A683" s="11"/>
      <c r="B683" s="11"/>
      <c r="C683" s="11"/>
      <c r="D683" s="11"/>
      <c r="E683" s="11"/>
      <c r="F683" s="12"/>
      <c r="G683" s="11"/>
    </row>
    <row r="684" spans="1:7" ht="13.2" hidden="1">
      <c r="A684" s="11"/>
      <c r="B684" s="11"/>
      <c r="C684" s="11"/>
      <c r="D684" s="11"/>
      <c r="E684" s="11"/>
      <c r="F684" s="12"/>
      <c r="G684" s="11"/>
    </row>
    <row r="685" spans="1:7" ht="13.2" hidden="1">
      <c r="A685" s="11"/>
      <c r="B685" s="11"/>
      <c r="C685" s="11"/>
      <c r="D685" s="11"/>
      <c r="E685" s="11"/>
      <c r="F685" s="12"/>
      <c r="G685" s="11"/>
    </row>
    <row r="686" spans="1:7" ht="13.2" hidden="1">
      <c r="A686" s="11"/>
      <c r="B686" s="11"/>
      <c r="C686" s="11"/>
      <c r="D686" s="11"/>
      <c r="E686" s="11"/>
      <c r="F686" s="12"/>
      <c r="G686" s="11"/>
    </row>
    <row r="687" spans="1:7" ht="13.2" hidden="1">
      <c r="A687" s="11"/>
      <c r="B687" s="11"/>
      <c r="C687" s="11"/>
      <c r="D687" s="11"/>
      <c r="E687" s="11"/>
      <c r="F687" s="12"/>
      <c r="G687" s="11"/>
    </row>
    <row r="688" spans="1:7" ht="13.2" hidden="1">
      <c r="A688" s="11"/>
      <c r="B688" s="11"/>
      <c r="C688" s="11"/>
      <c r="D688" s="11"/>
      <c r="E688" s="11"/>
      <c r="F688" s="12"/>
      <c r="G688" s="11"/>
    </row>
    <row r="689" spans="1:7" ht="13.2" hidden="1">
      <c r="A689" s="11"/>
      <c r="B689" s="11"/>
      <c r="C689" s="11"/>
      <c r="D689" s="11"/>
      <c r="E689" s="11"/>
      <c r="F689" s="12"/>
      <c r="G689" s="11"/>
    </row>
    <row r="690" spans="1:7" ht="13.2" hidden="1">
      <c r="A690" s="11"/>
      <c r="B690" s="11"/>
      <c r="C690" s="11"/>
      <c r="D690" s="11"/>
      <c r="E690" s="11"/>
      <c r="F690" s="12"/>
      <c r="G690" s="11"/>
    </row>
    <row r="691" spans="1:7" ht="13.2" hidden="1">
      <c r="A691" s="11"/>
      <c r="B691" s="11"/>
      <c r="C691" s="11"/>
      <c r="D691" s="11"/>
      <c r="E691" s="11"/>
      <c r="F691" s="12"/>
      <c r="G691" s="11"/>
    </row>
    <row r="692" spans="1:7" ht="13.2" hidden="1">
      <c r="A692" s="11"/>
      <c r="B692" s="11"/>
      <c r="C692" s="11"/>
      <c r="D692" s="11"/>
      <c r="E692" s="11"/>
      <c r="F692" s="12"/>
      <c r="G692" s="11"/>
    </row>
    <row r="693" spans="1:7" ht="13.2" hidden="1">
      <c r="A693" s="11"/>
      <c r="B693" s="11"/>
      <c r="C693" s="11"/>
      <c r="D693" s="11"/>
      <c r="E693" s="11"/>
      <c r="F693" s="12"/>
      <c r="G693" s="11"/>
    </row>
    <row r="694" spans="1:7" ht="13.2" hidden="1">
      <c r="A694" s="11"/>
      <c r="B694" s="11"/>
      <c r="C694" s="11"/>
      <c r="D694" s="11"/>
      <c r="E694" s="11"/>
      <c r="F694" s="12"/>
      <c r="G694" s="11"/>
    </row>
    <row r="695" spans="1:7" ht="13.2" hidden="1">
      <c r="A695" s="11"/>
      <c r="B695" s="11"/>
      <c r="C695" s="11"/>
      <c r="D695" s="11"/>
      <c r="E695" s="11"/>
      <c r="F695" s="12"/>
      <c r="G695" s="11"/>
    </row>
    <row r="696" spans="1:7" ht="13.2" hidden="1">
      <c r="A696" s="11"/>
      <c r="B696" s="11"/>
      <c r="C696" s="11"/>
      <c r="D696" s="11"/>
      <c r="E696" s="11"/>
      <c r="F696" s="12"/>
      <c r="G696" s="11"/>
    </row>
    <row r="697" spans="1:7" ht="13.2" hidden="1">
      <c r="A697" s="11"/>
      <c r="B697" s="11"/>
      <c r="C697" s="11"/>
      <c r="D697" s="11"/>
      <c r="E697" s="11"/>
      <c r="F697" s="12"/>
      <c r="G697" s="11"/>
    </row>
    <row r="698" spans="1:7" ht="13.2" hidden="1">
      <c r="A698" s="11"/>
      <c r="B698" s="11"/>
      <c r="C698" s="11"/>
      <c r="D698" s="11"/>
      <c r="E698" s="11"/>
      <c r="F698" s="12"/>
      <c r="G698" s="11"/>
    </row>
    <row r="699" spans="1:7" ht="13.2" hidden="1">
      <c r="A699" s="11"/>
      <c r="B699" s="11"/>
      <c r="C699" s="11"/>
      <c r="D699" s="11"/>
      <c r="E699" s="11"/>
      <c r="F699" s="12"/>
      <c r="G699" s="11"/>
    </row>
    <row r="700" spans="1:7" ht="13.2" hidden="1">
      <c r="A700" s="11"/>
      <c r="B700" s="11"/>
      <c r="C700" s="11"/>
      <c r="D700" s="11"/>
      <c r="E700" s="11"/>
      <c r="F700" s="12"/>
      <c r="G700" s="11"/>
    </row>
    <row r="701" spans="1:7" ht="13.2" hidden="1">
      <c r="A701" s="11"/>
      <c r="B701" s="11"/>
      <c r="C701" s="11"/>
      <c r="D701" s="11"/>
      <c r="E701" s="11"/>
      <c r="F701" s="12"/>
      <c r="G701" s="11"/>
    </row>
    <row r="702" spans="1:7" ht="13.2" hidden="1">
      <c r="A702" s="11"/>
      <c r="B702" s="11"/>
      <c r="C702" s="11"/>
      <c r="D702" s="11"/>
      <c r="E702" s="11"/>
      <c r="F702" s="12"/>
      <c r="G702" s="11"/>
    </row>
    <row r="703" spans="1:7" ht="13.2" hidden="1">
      <c r="A703" s="11"/>
      <c r="B703" s="11"/>
      <c r="C703" s="11"/>
      <c r="D703" s="11"/>
      <c r="E703" s="11"/>
      <c r="F703" s="12"/>
      <c r="G703" s="11"/>
    </row>
    <row r="704" spans="1:7" ht="13.2" hidden="1">
      <c r="A704" s="11"/>
      <c r="B704" s="11"/>
      <c r="C704" s="11"/>
      <c r="D704" s="11"/>
      <c r="E704" s="11"/>
      <c r="F704" s="12"/>
      <c r="G704" s="11"/>
    </row>
    <row r="705" spans="1:7" ht="13.2" hidden="1">
      <c r="A705" s="11"/>
      <c r="B705" s="11"/>
      <c r="C705" s="11"/>
      <c r="D705" s="11"/>
      <c r="E705" s="11"/>
      <c r="F705" s="12"/>
      <c r="G705" s="11"/>
    </row>
    <row r="706" spans="1:7" ht="13.2" hidden="1">
      <c r="A706" s="11"/>
      <c r="B706" s="11"/>
      <c r="C706" s="11"/>
      <c r="D706" s="11"/>
      <c r="E706" s="11"/>
      <c r="F706" s="12"/>
      <c r="G706" s="11"/>
    </row>
    <row r="707" spans="1:7" ht="13.2" hidden="1">
      <c r="A707" s="11"/>
      <c r="B707" s="11"/>
      <c r="C707" s="11"/>
      <c r="D707" s="11"/>
      <c r="E707" s="11"/>
      <c r="F707" s="12"/>
      <c r="G707" s="11"/>
    </row>
    <row r="708" spans="1:7" ht="13.2" hidden="1">
      <c r="A708" s="11"/>
      <c r="B708" s="11"/>
      <c r="C708" s="11"/>
      <c r="D708" s="11"/>
      <c r="E708" s="11"/>
      <c r="F708" s="12"/>
      <c r="G708" s="11"/>
    </row>
    <row r="709" spans="1:7" ht="13.2" hidden="1">
      <c r="A709" s="11"/>
      <c r="B709" s="11"/>
      <c r="C709" s="11"/>
      <c r="D709" s="11"/>
      <c r="E709" s="11"/>
      <c r="F709" s="12"/>
      <c r="G709" s="11"/>
    </row>
    <row r="710" spans="1:7" ht="13.2" hidden="1">
      <c r="A710" s="11"/>
      <c r="B710" s="11"/>
      <c r="C710" s="11"/>
      <c r="D710" s="11"/>
      <c r="E710" s="11"/>
      <c r="F710" s="12"/>
      <c r="G710" s="11"/>
    </row>
    <row r="711" spans="1:7" ht="13.2" hidden="1">
      <c r="A711" s="11"/>
      <c r="B711" s="11"/>
      <c r="C711" s="11"/>
      <c r="D711" s="11"/>
      <c r="E711" s="11"/>
      <c r="F711" s="12"/>
      <c r="G711" s="11"/>
    </row>
    <row r="712" spans="1:7" ht="13.2" hidden="1">
      <c r="A712" s="11"/>
      <c r="B712" s="11"/>
      <c r="C712" s="11"/>
      <c r="D712" s="11"/>
      <c r="E712" s="11"/>
      <c r="F712" s="12"/>
      <c r="G712" s="11"/>
    </row>
    <row r="713" spans="1:7" ht="13.2" hidden="1">
      <c r="A713" s="11"/>
      <c r="B713" s="11"/>
      <c r="C713" s="11"/>
      <c r="D713" s="11"/>
      <c r="E713" s="11"/>
      <c r="F713" s="12"/>
      <c r="G713" s="11"/>
    </row>
    <row r="714" spans="1:7" ht="13.2" hidden="1">
      <c r="A714" s="11"/>
      <c r="B714" s="11"/>
      <c r="C714" s="11"/>
      <c r="D714" s="11"/>
      <c r="E714" s="11"/>
      <c r="F714" s="12"/>
      <c r="G714" s="11"/>
    </row>
    <row r="715" spans="1:7" ht="13.2" hidden="1">
      <c r="A715" s="11"/>
      <c r="B715" s="11"/>
      <c r="C715" s="11"/>
      <c r="D715" s="11"/>
      <c r="E715" s="11"/>
      <c r="F715" s="12"/>
      <c r="G715" s="11"/>
    </row>
    <row r="716" spans="1:7" ht="13.2" hidden="1">
      <c r="A716" s="11"/>
      <c r="B716" s="11"/>
      <c r="C716" s="11"/>
      <c r="D716" s="11"/>
      <c r="E716" s="11"/>
      <c r="F716" s="12"/>
      <c r="G716" s="11"/>
    </row>
    <row r="717" spans="1:7" ht="13.2" hidden="1">
      <c r="A717" s="11"/>
      <c r="B717" s="11"/>
      <c r="C717" s="11"/>
      <c r="D717" s="11"/>
      <c r="E717" s="11"/>
      <c r="F717" s="12"/>
      <c r="G717" s="11"/>
    </row>
    <row r="718" spans="1:7" ht="13.2" hidden="1">
      <c r="A718" s="11"/>
      <c r="B718" s="11"/>
      <c r="C718" s="11"/>
      <c r="D718" s="11"/>
      <c r="E718" s="11"/>
      <c r="F718" s="12"/>
      <c r="G718" s="11"/>
    </row>
    <row r="719" spans="1:7" ht="13.2" hidden="1">
      <c r="A719" s="11"/>
      <c r="B719" s="11"/>
      <c r="C719" s="11"/>
      <c r="D719" s="11"/>
      <c r="E719" s="11"/>
      <c r="F719" s="12"/>
      <c r="G719" s="11"/>
    </row>
    <row r="720" spans="1:7" ht="13.2" hidden="1">
      <c r="A720" s="11"/>
      <c r="B720" s="11"/>
      <c r="C720" s="11"/>
      <c r="D720" s="11"/>
      <c r="E720" s="11"/>
      <c r="F720" s="12"/>
      <c r="G720" s="11"/>
    </row>
    <row r="721" spans="1:7" ht="13.2" hidden="1">
      <c r="A721" s="11"/>
      <c r="B721" s="11"/>
      <c r="C721" s="11"/>
      <c r="D721" s="11"/>
      <c r="E721" s="11"/>
      <c r="F721" s="12"/>
      <c r="G721" s="11"/>
    </row>
    <row r="722" spans="1:7" ht="13.2" hidden="1">
      <c r="A722" s="11"/>
      <c r="B722" s="11"/>
      <c r="C722" s="11"/>
      <c r="D722" s="11"/>
      <c r="E722" s="11"/>
      <c r="F722" s="12"/>
      <c r="G722" s="11"/>
    </row>
    <row r="723" spans="1:7" ht="13.2" hidden="1">
      <c r="A723" s="11"/>
      <c r="B723" s="11"/>
      <c r="C723" s="11"/>
      <c r="D723" s="11"/>
      <c r="E723" s="11"/>
      <c r="F723" s="12"/>
      <c r="G723" s="11"/>
    </row>
    <row r="724" spans="1:7" ht="13.2" hidden="1">
      <c r="A724" s="11"/>
      <c r="B724" s="11"/>
      <c r="C724" s="11"/>
      <c r="D724" s="11"/>
      <c r="E724" s="11"/>
      <c r="F724" s="12"/>
      <c r="G724" s="11"/>
    </row>
    <row r="725" spans="1:7" ht="13.2" hidden="1">
      <c r="A725" s="11"/>
      <c r="B725" s="11"/>
      <c r="C725" s="11"/>
      <c r="D725" s="11"/>
      <c r="E725" s="11"/>
      <c r="F725" s="12"/>
      <c r="G725" s="11"/>
    </row>
    <row r="726" spans="1:7" ht="13.2" hidden="1">
      <c r="A726" s="11"/>
      <c r="B726" s="11"/>
      <c r="C726" s="11"/>
      <c r="D726" s="11"/>
      <c r="E726" s="11"/>
      <c r="F726" s="12"/>
      <c r="G726" s="11"/>
    </row>
    <row r="727" spans="1:7" ht="13.2" hidden="1">
      <c r="A727" s="11"/>
      <c r="B727" s="11"/>
      <c r="C727" s="11"/>
      <c r="D727" s="11"/>
      <c r="E727" s="11"/>
      <c r="F727" s="12"/>
      <c r="G727" s="11"/>
    </row>
    <row r="728" spans="1:7" ht="13.2" hidden="1">
      <c r="A728" s="11"/>
      <c r="B728" s="11"/>
      <c r="C728" s="11"/>
      <c r="D728" s="11"/>
      <c r="E728" s="11"/>
      <c r="F728" s="12"/>
      <c r="G728" s="11"/>
    </row>
    <row r="729" spans="1:7" ht="13.2" hidden="1">
      <c r="A729" s="11"/>
      <c r="B729" s="11"/>
      <c r="C729" s="11"/>
      <c r="D729" s="11"/>
      <c r="E729" s="11"/>
      <c r="F729" s="12"/>
      <c r="G729" s="11"/>
    </row>
    <row r="730" spans="1:7" ht="13.2" hidden="1">
      <c r="A730" s="11"/>
      <c r="B730" s="11"/>
      <c r="C730" s="11"/>
      <c r="D730" s="11"/>
      <c r="E730" s="11"/>
      <c r="F730" s="12"/>
      <c r="G730" s="11"/>
    </row>
    <row r="731" spans="1:7" ht="13.2" hidden="1">
      <c r="A731" s="11"/>
      <c r="B731" s="11"/>
      <c r="C731" s="11"/>
      <c r="D731" s="11"/>
      <c r="E731" s="11"/>
      <c r="F731" s="12"/>
      <c r="G731" s="11"/>
    </row>
    <row r="732" spans="1:7" ht="13.2" hidden="1">
      <c r="A732" s="11"/>
      <c r="B732" s="11"/>
      <c r="C732" s="11"/>
      <c r="D732" s="11"/>
      <c r="E732" s="11"/>
      <c r="F732" s="12"/>
      <c r="G732" s="11"/>
    </row>
    <row r="733" spans="1:7" ht="13.2" hidden="1">
      <c r="A733" s="11"/>
      <c r="B733" s="11"/>
      <c r="C733" s="11"/>
      <c r="D733" s="11"/>
      <c r="E733" s="11"/>
      <c r="F733" s="12"/>
      <c r="G733" s="11"/>
    </row>
    <row r="734" spans="1:7" ht="13.2" hidden="1">
      <c r="A734" s="11"/>
      <c r="B734" s="11"/>
      <c r="C734" s="11"/>
      <c r="D734" s="11"/>
      <c r="E734" s="11"/>
      <c r="F734" s="12"/>
      <c r="G734" s="11"/>
    </row>
    <row r="735" spans="1:7" ht="13.2" hidden="1">
      <c r="A735" s="11"/>
      <c r="B735" s="11"/>
      <c r="C735" s="11"/>
      <c r="D735" s="11"/>
      <c r="E735" s="11"/>
      <c r="F735" s="12"/>
      <c r="G735" s="11"/>
    </row>
    <row r="736" spans="1:7" ht="13.2" hidden="1">
      <c r="A736" s="11"/>
      <c r="B736" s="11"/>
      <c r="C736" s="11"/>
      <c r="D736" s="11"/>
      <c r="E736" s="11"/>
      <c r="F736" s="12"/>
      <c r="G736" s="11"/>
    </row>
    <row r="737" spans="1:7" ht="13.2" hidden="1">
      <c r="A737" s="11"/>
      <c r="B737" s="11"/>
      <c r="C737" s="11"/>
      <c r="D737" s="11"/>
      <c r="E737" s="11"/>
      <c r="F737" s="12"/>
      <c r="G737" s="11"/>
    </row>
    <row r="738" spans="1:7" ht="13.2" hidden="1">
      <c r="A738" s="11"/>
      <c r="B738" s="11"/>
      <c r="C738" s="11"/>
      <c r="D738" s="11"/>
      <c r="E738" s="11"/>
      <c r="F738" s="12"/>
      <c r="G738" s="11"/>
    </row>
    <row r="739" spans="1:7" ht="13.2" hidden="1">
      <c r="A739" s="11"/>
      <c r="B739" s="11"/>
      <c r="C739" s="11"/>
      <c r="D739" s="11"/>
      <c r="E739" s="11"/>
      <c r="F739" s="12"/>
      <c r="G739" s="11"/>
    </row>
    <row r="740" spans="1:7" ht="13.2" hidden="1">
      <c r="A740" s="11"/>
      <c r="B740" s="11"/>
      <c r="C740" s="11"/>
      <c r="D740" s="11"/>
      <c r="E740" s="11"/>
      <c r="F740" s="12"/>
      <c r="G740" s="11"/>
    </row>
    <row r="741" spans="1:7" ht="13.2" hidden="1">
      <c r="A741" s="11"/>
      <c r="B741" s="11"/>
      <c r="C741" s="11"/>
      <c r="D741" s="11"/>
      <c r="E741" s="11"/>
      <c r="F741" s="12"/>
      <c r="G741" s="11"/>
    </row>
    <row r="742" spans="1:7" ht="13.2" hidden="1">
      <c r="A742" s="11"/>
      <c r="B742" s="11"/>
      <c r="C742" s="11"/>
      <c r="D742" s="11"/>
      <c r="E742" s="11"/>
      <c r="F742" s="12"/>
      <c r="G742" s="11"/>
    </row>
    <row r="743" spans="1:7" ht="13.2" hidden="1">
      <c r="A743" s="11"/>
      <c r="B743" s="11"/>
      <c r="C743" s="11"/>
      <c r="D743" s="11"/>
      <c r="E743" s="11"/>
      <c r="F743" s="12"/>
      <c r="G743" s="11"/>
    </row>
    <row r="744" spans="1:7" ht="13.2" hidden="1">
      <c r="A744" s="11"/>
      <c r="B744" s="11"/>
      <c r="C744" s="11"/>
      <c r="D744" s="11"/>
      <c r="E744" s="11"/>
      <c r="F744" s="12"/>
      <c r="G744" s="11"/>
    </row>
    <row r="745" spans="1:7" ht="13.2" hidden="1">
      <c r="A745" s="11"/>
      <c r="B745" s="11"/>
      <c r="C745" s="11"/>
      <c r="D745" s="11"/>
      <c r="E745" s="11"/>
      <c r="F745" s="12"/>
      <c r="G745" s="11"/>
    </row>
    <row r="746" spans="1:7" ht="13.2" hidden="1">
      <c r="A746" s="11"/>
      <c r="B746" s="11"/>
      <c r="C746" s="11"/>
      <c r="D746" s="11"/>
      <c r="E746" s="11"/>
      <c r="F746" s="12"/>
      <c r="G746" s="11"/>
    </row>
    <row r="747" spans="1:7" ht="13.2" hidden="1">
      <c r="A747" s="11"/>
      <c r="B747" s="11"/>
      <c r="C747" s="11"/>
      <c r="D747" s="11"/>
      <c r="E747" s="11"/>
      <c r="F747" s="12"/>
      <c r="G747" s="11"/>
    </row>
    <row r="748" spans="1:7" ht="13.2" hidden="1">
      <c r="A748" s="11"/>
      <c r="B748" s="11"/>
      <c r="C748" s="11"/>
      <c r="D748" s="11"/>
      <c r="E748" s="11"/>
      <c r="F748" s="12"/>
      <c r="G748" s="11"/>
    </row>
    <row r="749" spans="1:7" ht="13.2" hidden="1">
      <c r="A749" s="11"/>
      <c r="B749" s="11"/>
      <c r="C749" s="11"/>
      <c r="D749" s="11"/>
      <c r="E749" s="11"/>
      <c r="F749" s="12"/>
      <c r="G749" s="11"/>
    </row>
    <row r="750" spans="1:7" ht="13.2" hidden="1">
      <c r="A750" s="11"/>
      <c r="B750" s="11"/>
      <c r="C750" s="11"/>
      <c r="D750" s="11"/>
      <c r="E750" s="11"/>
      <c r="F750" s="12"/>
      <c r="G750" s="11"/>
    </row>
    <row r="751" spans="1:7" ht="13.2" hidden="1">
      <c r="A751" s="11"/>
      <c r="B751" s="11"/>
      <c r="C751" s="11"/>
      <c r="D751" s="11"/>
      <c r="E751" s="11"/>
      <c r="F751" s="12"/>
      <c r="G751" s="11"/>
    </row>
    <row r="752" spans="1:7" ht="13.2" hidden="1">
      <c r="A752" s="11"/>
      <c r="B752" s="11"/>
      <c r="C752" s="11"/>
      <c r="D752" s="11"/>
      <c r="E752" s="11"/>
      <c r="F752" s="12"/>
      <c r="G752" s="11"/>
    </row>
    <row r="753" spans="1:7" ht="13.2" hidden="1">
      <c r="A753" s="11"/>
      <c r="B753" s="11"/>
      <c r="C753" s="11"/>
      <c r="D753" s="11"/>
      <c r="E753" s="11"/>
      <c r="F753" s="12"/>
      <c r="G753" s="11"/>
    </row>
    <row r="754" spans="1:7" ht="13.2" hidden="1">
      <c r="A754" s="11"/>
      <c r="B754" s="11"/>
      <c r="C754" s="11"/>
      <c r="D754" s="11"/>
      <c r="E754" s="11"/>
      <c r="F754" s="12"/>
      <c r="G754" s="11"/>
    </row>
    <row r="755" spans="1:7" ht="13.2" hidden="1">
      <c r="A755" s="11"/>
      <c r="B755" s="11"/>
      <c r="C755" s="11"/>
      <c r="D755" s="11"/>
      <c r="E755" s="11"/>
      <c r="F755" s="12"/>
      <c r="G755" s="11"/>
    </row>
    <row r="756" spans="1:7" ht="13.2" hidden="1">
      <c r="A756" s="11"/>
      <c r="B756" s="11"/>
      <c r="C756" s="11"/>
      <c r="D756" s="11"/>
      <c r="E756" s="11"/>
      <c r="F756" s="12"/>
      <c r="G756" s="11"/>
    </row>
    <row r="757" spans="1:7" ht="13.2" hidden="1">
      <c r="A757" s="11"/>
      <c r="B757" s="11"/>
      <c r="C757" s="11"/>
      <c r="D757" s="11"/>
      <c r="E757" s="11"/>
      <c r="F757" s="12"/>
      <c r="G757" s="11"/>
    </row>
    <row r="758" spans="1:7" ht="13.2" hidden="1">
      <c r="A758" s="11"/>
      <c r="B758" s="11"/>
      <c r="C758" s="11"/>
      <c r="D758" s="11"/>
      <c r="E758" s="11"/>
      <c r="F758" s="12"/>
      <c r="G758" s="11"/>
    </row>
    <row r="759" spans="1:7" ht="13.2" hidden="1">
      <c r="A759" s="11"/>
      <c r="B759" s="11"/>
      <c r="C759" s="11"/>
      <c r="D759" s="11"/>
      <c r="E759" s="11"/>
      <c r="F759" s="12"/>
      <c r="G759" s="11"/>
    </row>
    <row r="760" spans="1:7" ht="13.2" hidden="1">
      <c r="A760" s="11"/>
      <c r="B760" s="11"/>
      <c r="C760" s="11"/>
      <c r="D760" s="11"/>
      <c r="E760" s="11"/>
      <c r="F760" s="12"/>
      <c r="G760" s="11"/>
    </row>
    <row r="761" spans="1:7" ht="13.2" hidden="1">
      <c r="A761" s="11"/>
      <c r="B761" s="11"/>
      <c r="C761" s="11"/>
      <c r="D761" s="11"/>
      <c r="E761" s="11"/>
      <c r="F761" s="12"/>
      <c r="G761" s="11"/>
    </row>
    <row r="762" spans="1:7" ht="13.2" hidden="1">
      <c r="A762" s="11"/>
      <c r="B762" s="11"/>
      <c r="C762" s="11"/>
      <c r="D762" s="11"/>
      <c r="E762" s="11"/>
      <c r="F762" s="12"/>
      <c r="G762" s="11"/>
    </row>
    <row r="763" spans="1:7" ht="13.2" hidden="1">
      <c r="A763" s="11"/>
      <c r="B763" s="11"/>
      <c r="C763" s="11"/>
      <c r="D763" s="11"/>
      <c r="E763" s="11"/>
      <c r="F763" s="12"/>
      <c r="G763" s="11"/>
    </row>
    <row r="764" spans="1:7" ht="13.2" hidden="1">
      <c r="A764" s="11"/>
      <c r="B764" s="11"/>
      <c r="C764" s="11"/>
      <c r="D764" s="11"/>
      <c r="E764" s="11"/>
      <c r="F764" s="12"/>
      <c r="G764" s="11"/>
    </row>
    <row r="765" spans="1:7" ht="13.2" hidden="1">
      <c r="A765" s="11"/>
      <c r="B765" s="11"/>
      <c r="C765" s="11"/>
      <c r="D765" s="11"/>
      <c r="E765" s="11"/>
      <c r="F765" s="12"/>
      <c r="G765" s="11"/>
    </row>
    <row r="766" spans="1:7" ht="13.2" hidden="1">
      <c r="A766" s="11"/>
      <c r="B766" s="11"/>
      <c r="C766" s="11"/>
      <c r="D766" s="11"/>
      <c r="E766" s="11"/>
      <c r="F766" s="12"/>
      <c r="G766" s="11"/>
    </row>
    <row r="767" spans="1:7" ht="13.2" hidden="1">
      <c r="A767" s="11"/>
      <c r="B767" s="11"/>
      <c r="C767" s="11"/>
      <c r="D767" s="11"/>
      <c r="E767" s="11"/>
      <c r="F767" s="12"/>
      <c r="G767" s="11"/>
    </row>
    <row r="768" spans="1:7" ht="13.2" hidden="1">
      <c r="A768" s="11"/>
      <c r="B768" s="11"/>
      <c r="C768" s="11"/>
      <c r="D768" s="11"/>
      <c r="E768" s="11"/>
      <c r="F768" s="12"/>
      <c r="G768" s="11"/>
    </row>
    <row r="769" spans="1:7" ht="13.2" hidden="1">
      <c r="A769" s="11"/>
      <c r="B769" s="11"/>
      <c r="C769" s="11"/>
      <c r="D769" s="11"/>
      <c r="E769" s="11"/>
      <c r="F769" s="12"/>
      <c r="G769" s="11"/>
    </row>
    <row r="770" spans="1:7" ht="13.2" hidden="1">
      <c r="A770" s="11"/>
      <c r="B770" s="11"/>
      <c r="C770" s="11"/>
      <c r="D770" s="11"/>
      <c r="E770" s="11"/>
      <c r="F770" s="12"/>
      <c r="G770" s="11"/>
    </row>
    <row r="771" spans="1:7" ht="13.2" hidden="1">
      <c r="A771" s="11"/>
      <c r="B771" s="11"/>
      <c r="C771" s="11"/>
      <c r="D771" s="11"/>
      <c r="E771" s="11"/>
      <c r="F771" s="12"/>
      <c r="G771" s="11"/>
    </row>
    <row r="772" spans="1:7" ht="13.2" hidden="1">
      <c r="A772" s="11"/>
      <c r="B772" s="11"/>
      <c r="C772" s="11"/>
      <c r="D772" s="11"/>
      <c r="E772" s="11"/>
      <c r="F772" s="12"/>
      <c r="G772" s="11"/>
    </row>
    <row r="773" spans="1:7" ht="13.2" hidden="1">
      <c r="A773" s="11"/>
      <c r="B773" s="11"/>
      <c r="C773" s="11"/>
      <c r="D773" s="11"/>
      <c r="E773" s="11"/>
      <c r="F773" s="12"/>
      <c r="G773" s="11"/>
    </row>
    <row r="774" spans="1:7" ht="13.2" hidden="1">
      <c r="A774" s="11"/>
      <c r="B774" s="11"/>
      <c r="C774" s="11"/>
      <c r="D774" s="11"/>
      <c r="E774" s="11"/>
      <c r="F774" s="12"/>
      <c r="G774" s="11"/>
    </row>
    <row r="775" spans="1:7" ht="13.2" hidden="1">
      <c r="A775" s="11"/>
      <c r="B775" s="11"/>
      <c r="C775" s="11"/>
      <c r="D775" s="11"/>
      <c r="E775" s="11"/>
      <c r="F775" s="12"/>
      <c r="G775" s="11"/>
    </row>
    <row r="776" spans="1:7" ht="13.2" hidden="1">
      <c r="A776" s="11"/>
      <c r="B776" s="11"/>
      <c r="C776" s="11"/>
      <c r="D776" s="11"/>
      <c r="E776" s="11"/>
      <c r="F776" s="12"/>
      <c r="G776" s="11"/>
    </row>
    <row r="777" spans="1:7" ht="13.2" hidden="1">
      <c r="A777" s="11"/>
      <c r="B777" s="11"/>
      <c r="C777" s="11"/>
      <c r="D777" s="11"/>
      <c r="E777" s="11"/>
      <c r="F777" s="12"/>
      <c r="G777" s="11"/>
    </row>
    <row r="778" spans="1:7" ht="13.2" hidden="1">
      <c r="A778" s="11"/>
      <c r="B778" s="11"/>
      <c r="C778" s="11"/>
      <c r="D778" s="11"/>
      <c r="E778" s="11"/>
      <c r="F778" s="12"/>
      <c r="G778" s="11"/>
    </row>
    <row r="779" spans="1:7" ht="13.2" hidden="1">
      <c r="A779" s="11"/>
      <c r="B779" s="11"/>
      <c r="C779" s="11"/>
      <c r="D779" s="11"/>
      <c r="E779" s="11"/>
      <c r="F779" s="12"/>
      <c r="G779" s="11"/>
    </row>
    <row r="780" spans="1:7" ht="13.2" hidden="1">
      <c r="A780" s="11"/>
      <c r="B780" s="11"/>
      <c r="C780" s="11"/>
      <c r="D780" s="11"/>
      <c r="E780" s="11"/>
      <c r="F780" s="12"/>
      <c r="G780" s="11"/>
    </row>
    <row r="781" spans="1:7" ht="13.2" hidden="1">
      <c r="A781" s="11"/>
      <c r="B781" s="11"/>
      <c r="C781" s="11"/>
      <c r="D781" s="11"/>
      <c r="E781" s="11"/>
      <c r="F781" s="12"/>
      <c r="G781" s="11"/>
    </row>
    <row r="782" spans="1:7" ht="13.2" hidden="1">
      <c r="A782" s="11"/>
      <c r="B782" s="11"/>
      <c r="C782" s="11"/>
      <c r="D782" s="11"/>
      <c r="E782" s="11"/>
      <c r="F782" s="12"/>
      <c r="G782" s="11"/>
    </row>
    <row r="783" spans="1:7" ht="13.2" hidden="1">
      <c r="A783" s="11"/>
      <c r="B783" s="11"/>
      <c r="C783" s="11"/>
      <c r="D783" s="11"/>
      <c r="E783" s="11"/>
      <c r="F783" s="12"/>
      <c r="G783" s="11"/>
    </row>
    <row r="784" spans="1:7" ht="13.2" hidden="1">
      <c r="A784" s="11"/>
      <c r="B784" s="11"/>
      <c r="C784" s="11"/>
      <c r="D784" s="11"/>
      <c r="E784" s="11"/>
      <c r="F784" s="12"/>
      <c r="G784" s="11"/>
    </row>
    <row r="785" spans="1:7" ht="13.2" hidden="1">
      <c r="A785" s="11"/>
      <c r="B785" s="11"/>
      <c r="C785" s="11"/>
      <c r="D785" s="11"/>
      <c r="E785" s="11"/>
      <c r="F785" s="12"/>
      <c r="G785" s="11"/>
    </row>
    <row r="786" spans="1:7" ht="13.2" hidden="1">
      <c r="A786" s="11"/>
      <c r="B786" s="11"/>
      <c r="C786" s="11"/>
      <c r="D786" s="11"/>
      <c r="E786" s="11"/>
      <c r="F786" s="12"/>
      <c r="G786" s="11"/>
    </row>
    <row r="787" spans="1:7" ht="13.2" hidden="1">
      <c r="A787" s="11"/>
      <c r="B787" s="11"/>
      <c r="C787" s="11"/>
      <c r="D787" s="11"/>
      <c r="E787" s="11"/>
      <c r="F787" s="12"/>
      <c r="G787" s="11"/>
    </row>
    <row r="788" spans="1:7" ht="13.2" hidden="1">
      <c r="A788" s="11"/>
      <c r="B788" s="11"/>
      <c r="C788" s="11"/>
      <c r="D788" s="11"/>
      <c r="E788" s="11"/>
      <c r="F788" s="12"/>
      <c r="G788" s="11"/>
    </row>
    <row r="789" spans="1:7" ht="13.2" hidden="1">
      <c r="A789" s="11"/>
      <c r="B789" s="11"/>
      <c r="C789" s="11"/>
      <c r="D789" s="11"/>
      <c r="E789" s="11"/>
      <c r="F789" s="12"/>
      <c r="G789" s="11"/>
    </row>
    <row r="790" spans="1:7" ht="13.2" hidden="1">
      <c r="A790" s="11"/>
      <c r="B790" s="11"/>
      <c r="C790" s="11"/>
      <c r="D790" s="11"/>
      <c r="E790" s="11"/>
      <c r="F790" s="12"/>
      <c r="G790" s="11"/>
    </row>
    <row r="791" spans="1:7" ht="13.2" hidden="1">
      <c r="A791" s="11"/>
      <c r="B791" s="11"/>
      <c r="C791" s="11"/>
      <c r="D791" s="11"/>
      <c r="E791" s="11"/>
      <c r="F791" s="12"/>
      <c r="G791" s="11"/>
    </row>
    <row r="792" spans="1:7" ht="13.2" hidden="1">
      <c r="A792" s="11"/>
      <c r="B792" s="11"/>
      <c r="C792" s="11"/>
      <c r="D792" s="11"/>
      <c r="E792" s="11"/>
      <c r="F792" s="12"/>
      <c r="G792" s="11"/>
    </row>
    <row r="793" spans="1:7" ht="13.2" hidden="1">
      <c r="A793" s="11"/>
      <c r="B793" s="11"/>
      <c r="C793" s="11"/>
      <c r="D793" s="11"/>
      <c r="E793" s="11"/>
      <c r="F793" s="12"/>
      <c r="G793" s="11"/>
    </row>
    <row r="794" spans="1:7" ht="13.2" hidden="1">
      <c r="A794" s="11"/>
      <c r="B794" s="11"/>
      <c r="C794" s="11"/>
      <c r="D794" s="11"/>
      <c r="E794" s="11"/>
      <c r="F794" s="12"/>
      <c r="G794" s="11"/>
    </row>
    <row r="795" spans="1:7" ht="13.2" hidden="1">
      <c r="A795" s="11"/>
      <c r="B795" s="11"/>
      <c r="C795" s="11"/>
      <c r="D795" s="11"/>
      <c r="E795" s="11"/>
      <c r="F795" s="12"/>
      <c r="G795" s="11"/>
    </row>
    <row r="796" spans="1:7" ht="13.2" hidden="1">
      <c r="A796" s="11"/>
      <c r="B796" s="11"/>
      <c r="C796" s="11"/>
      <c r="D796" s="11"/>
      <c r="E796" s="11"/>
      <c r="F796" s="12"/>
      <c r="G796" s="11"/>
    </row>
    <row r="797" spans="1:7" ht="13.2" hidden="1">
      <c r="A797" s="11"/>
      <c r="B797" s="11"/>
      <c r="C797" s="11"/>
      <c r="D797" s="11"/>
      <c r="E797" s="11"/>
      <c r="F797" s="12"/>
      <c r="G797" s="11"/>
    </row>
    <row r="798" spans="1:7" ht="13.2" hidden="1">
      <c r="A798" s="11"/>
      <c r="B798" s="11"/>
      <c r="C798" s="11"/>
      <c r="D798" s="11"/>
      <c r="E798" s="11"/>
      <c r="F798" s="12"/>
      <c r="G798" s="11"/>
    </row>
    <row r="799" spans="1:7" ht="13.2" hidden="1">
      <c r="A799" s="11"/>
      <c r="B799" s="11"/>
      <c r="C799" s="11"/>
      <c r="D799" s="11"/>
      <c r="E799" s="11"/>
      <c r="F799" s="12"/>
      <c r="G799" s="11"/>
    </row>
    <row r="800" spans="1:7" ht="13.2" hidden="1">
      <c r="A800" s="11"/>
      <c r="B800" s="11"/>
      <c r="C800" s="11"/>
      <c r="D800" s="11"/>
      <c r="E800" s="11"/>
      <c r="F800" s="12"/>
      <c r="G800" s="11"/>
    </row>
    <row r="801" spans="1:7" ht="13.2" hidden="1">
      <c r="A801" s="11"/>
      <c r="B801" s="11"/>
      <c r="C801" s="11"/>
      <c r="D801" s="11"/>
      <c r="E801" s="11"/>
      <c r="F801" s="12"/>
      <c r="G801" s="11"/>
    </row>
    <row r="802" spans="1:7" ht="13.2" hidden="1">
      <c r="A802" s="11"/>
      <c r="B802" s="11"/>
      <c r="C802" s="11"/>
      <c r="D802" s="11"/>
      <c r="E802" s="11"/>
      <c r="F802" s="12"/>
      <c r="G802" s="11"/>
    </row>
    <row r="803" spans="1:7" ht="13.2" hidden="1">
      <c r="A803" s="11"/>
      <c r="B803" s="11"/>
      <c r="C803" s="11"/>
      <c r="D803" s="11"/>
      <c r="E803" s="11"/>
      <c r="F803" s="12"/>
      <c r="G803" s="11"/>
    </row>
    <row r="804" spans="1:7" ht="13.2" hidden="1">
      <c r="A804" s="11"/>
      <c r="B804" s="11"/>
      <c r="C804" s="11"/>
      <c r="D804" s="11"/>
      <c r="E804" s="11"/>
      <c r="F804" s="12"/>
      <c r="G804" s="11"/>
    </row>
    <row r="805" spans="1:7" ht="13.2" hidden="1">
      <c r="A805" s="11"/>
      <c r="B805" s="11"/>
      <c r="C805" s="11"/>
      <c r="D805" s="11"/>
      <c r="E805" s="11"/>
      <c r="F805" s="12"/>
      <c r="G805" s="11"/>
    </row>
    <row r="806" spans="1:7" ht="13.2" hidden="1">
      <c r="A806" s="11"/>
      <c r="B806" s="11"/>
      <c r="C806" s="11"/>
      <c r="D806" s="11"/>
      <c r="E806" s="11"/>
      <c r="F806" s="12"/>
      <c r="G806" s="11"/>
    </row>
    <row r="807" spans="1:7" ht="13.2" hidden="1">
      <c r="A807" s="11"/>
      <c r="B807" s="11"/>
      <c r="C807" s="11"/>
      <c r="D807" s="11"/>
      <c r="E807" s="11"/>
      <c r="F807" s="12"/>
      <c r="G807" s="11"/>
    </row>
    <row r="808" spans="1:7" ht="13.2" hidden="1">
      <c r="A808" s="11"/>
      <c r="B808" s="11"/>
      <c r="C808" s="11"/>
      <c r="D808" s="11"/>
      <c r="E808" s="11"/>
      <c r="F808" s="12"/>
      <c r="G808" s="11"/>
    </row>
    <row r="809" spans="1:7" ht="13.2" hidden="1">
      <c r="A809" s="11"/>
      <c r="B809" s="11"/>
      <c r="C809" s="11"/>
      <c r="D809" s="11"/>
      <c r="E809" s="11"/>
      <c r="F809" s="12"/>
      <c r="G809" s="11"/>
    </row>
    <row r="810" spans="1:7" ht="13.2" hidden="1">
      <c r="A810" s="11"/>
      <c r="B810" s="11"/>
      <c r="C810" s="11"/>
      <c r="D810" s="11"/>
      <c r="E810" s="11"/>
      <c r="F810" s="12"/>
      <c r="G810" s="11"/>
    </row>
    <row r="811" spans="1:7" ht="13.2" hidden="1">
      <c r="A811" s="11"/>
      <c r="B811" s="11"/>
      <c r="C811" s="11"/>
      <c r="D811" s="11"/>
      <c r="E811" s="11"/>
      <c r="F811" s="12"/>
      <c r="G811" s="11"/>
    </row>
    <row r="812" spans="1:7" ht="13.2" hidden="1">
      <c r="A812" s="11"/>
      <c r="B812" s="11"/>
      <c r="C812" s="11"/>
      <c r="D812" s="11"/>
      <c r="E812" s="11"/>
      <c r="F812" s="12"/>
      <c r="G812" s="11"/>
    </row>
    <row r="813" spans="1:7" ht="13.2" hidden="1">
      <c r="A813" s="11"/>
      <c r="B813" s="11"/>
      <c r="C813" s="11"/>
      <c r="D813" s="11"/>
      <c r="E813" s="11"/>
      <c r="F813" s="12"/>
      <c r="G813" s="11"/>
    </row>
    <row r="814" spans="1:7" ht="13.2" hidden="1">
      <c r="A814" s="11"/>
      <c r="B814" s="11"/>
      <c r="C814" s="11"/>
      <c r="D814" s="11"/>
      <c r="E814" s="11"/>
      <c r="F814" s="12"/>
      <c r="G814" s="11"/>
    </row>
    <row r="815" spans="1:7" ht="13.2" hidden="1">
      <c r="A815" s="11"/>
      <c r="B815" s="11"/>
      <c r="C815" s="11"/>
      <c r="D815" s="11"/>
      <c r="E815" s="11"/>
      <c r="F815" s="12"/>
      <c r="G815" s="11"/>
    </row>
    <row r="816" spans="1:7" ht="13.2" hidden="1">
      <c r="A816" s="11"/>
      <c r="B816" s="11"/>
      <c r="C816" s="11"/>
      <c r="D816" s="11"/>
      <c r="E816" s="11"/>
      <c r="F816" s="12"/>
      <c r="G816" s="11"/>
    </row>
    <row r="817" spans="1:7" ht="13.2" hidden="1">
      <c r="A817" s="11"/>
      <c r="B817" s="11"/>
      <c r="C817" s="11"/>
      <c r="D817" s="11"/>
      <c r="E817" s="11"/>
      <c r="F817" s="12"/>
      <c r="G817" s="11"/>
    </row>
    <row r="818" spans="1:7" ht="13.2" hidden="1">
      <c r="A818" s="11"/>
      <c r="B818" s="11"/>
      <c r="C818" s="11"/>
      <c r="D818" s="11"/>
      <c r="E818" s="11"/>
      <c r="F818" s="12"/>
      <c r="G818" s="11"/>
    </row>
    <row r="819" spans="1:7" ht="13.2" hidden="1">
      <c r="A819" s="11"/>
      <c r="B819" s="11"/>
      <c r="C819" s="11"/>
      <c r="D819" s="11"/>
      <c r="E819" s="11"/>
      <c r="F819" s="12"/>
      <c r="G819" s="11"/>
    </row>
    <row r="820" spans="1:7" ht="13.2" hidden="1">
      <c r="A820" s="11"/>
      <c r="B820" s="11"/>
      <c r="C820" s="11"/>
      <c r="D820" s="11"/>
      <c r="E820" s="11"/>
      <c r="F820" s="12"/>
      <c r="G820" s="11"/>
    </row>
    <row r="821" spans="1:7" ht="13.2" hidden="1">
      <c r="A821" s="11"/>
      <c r="B821" s="11"/>
      <c r="C821" s="11"/>
      <c r="D821" s="11"/>
      <c r="E821" s="11"/>
      <c r="F821" s="12"/>
      <c r="G821" s="11"/>
    </row>
    <row r="822" spans="1:7" ht="13.2" hidden="1">
      <c r="A822" s="11"/>
      <c r="B822" s="11"/>
      <c r="C822" s="11"/>
      <c r="D822" s="11"/>
      <c r="E822" s="11"/>
      <c r="F822" s="12"/>
      <c r="G822" s="11"/>
    </row>
    <row r="823" spans="1:7" ht="13.2" hidden="1">
      <c r="A823" s="11"/>
      <c r="B823" s="11"/>
      <c r="C823" s="11"/>
      <c r="D823" s="11"/>
      <c r="E823" s="11"/>
      <c r="F823" s="12"/>
      <c r="G823" s="11"/>
    </row>
    <row r="824" spans="1:7" ht="13.2" hidden="1">
      <c r="A824" s="11"/>
      <c r="B824" s="11"/>
      <c r="C824" s="11"/>
      <c r="D824" s="11"/>
      <c r="E824" s="11"/>
      <c r="F824" s="12"/>
      <c r="G824" s="11"/>
    </row>
    <row r="825" spans="1:7" ht="13.2" hidden="1">
      <c r="A825" s="11"/>
      <c r="B825" s="11"/>
      <c r="C825" s="11"/>
      <c r="D825" s="11"/>
      <c r="E825" s="11"/>
      <c r="F825" s="12"/>
      <c r="G825" s="11"/>
    </row>
    <row r="826" spans="1:7" ht="13.2" hidden="1">
      <c r="A826" s="11"/>
      <c r="B826" s="11"/>
      <c r="C826" s="11"/>
      <c r="D826" s="11"/>
      <c r="E826" s="11"/>
      <c r="F826" s="12"/>
      <c r="G826" s="11"/>
    </row>
    <row r="827" spans="1:7" ht="13.2" hidden="1">
      <c r="A827" s="11"/>
      <c r="B827" s="11"/>
      <c r="C827" s="11"/>
      <c r="D827" s="11"/>
      <c r="E827" s="11"/>
      <c r="F827" s="12"/>
      <c r="G827" s="11"/>
    </row>
    <row r="828" spans="1:7" ht="13.2" hidden="1">
      <c r="A828" s="11"/>
      <c r="B828" s="11"/>
      <c r="C828" s="11"/>
      <c r="D828" s="11"/>
      <c r="E828" s="11"/>
      <c r="F828" s="12"/>
      <c r="G828" s="11"/>
    </row>
    <row r="829" spans="1:7" ht="13.2" hidden="1">
      <c r="A829" s="11"/>
      <c r="B829" s="11"/>
      <c r="C829" s="11"/>
      <c r="D829" s="11"/>
      <c r="E829" s="11"/>
      <c r="F829" s="12"/>
      <c r="G829" s="11"/>
    </row>
    <row r="830" spans="1:7" ht="13.2" hidden="1">
      <c r="A830" s="11"/>
      <c r="B830" s="11"/>
      <c r="C830" s="11"/>
      <c r="D830" s="11"/>
      <c r="E830" s="11"/>
      <c r="F830" s="12"/>
      <c r="G830" s="11"/>
    </row>
    <row r="831" spans="1:7" ht="13.2" hidden="1">
      <c r="A831" s="11"/>
      <c r="B831" s="11"/>
      <c r="C831" s="11"/>
      <c r="D831" s="11"/>
      <c r="E831" s="11"/>
      <c r="F831" s="12"/>
      <c r="G831" s="11"/>
    </row>
    <row r="832" spans="1:7" ht="13.2" hidden="1">
      <c r="A832" s="11"/>
      <c r="B832" s="11"/>
      <c r="C832" s="11"/>
      <c r="D832" s="11"/>
      <c r="E832" s="11"/>
      <c r="F832" s="12"/>
      <c r="G832" s="11"/>
    </row>
    <row r="833" spans="1:7" ht="13.2" hidden="1">
      <c r="A833" s="11"/>
      <c r="B833" s="11"/>
      <c r="C833" s="11"/>
      <c r="D833" s="11"/>
      <c r="E833" s="11"/>
      <c r="F833" s="12"/>
      <c r="G833" s="11"/>
    </row>
    <row r="834" spans="1:7" ht="13.2" hidden="1">
      <c r="A834" s="11"/>
      <c r="B834" s="11"/>
      <c r="C834" s="11"/>
      <c r="D834" s="11"/>
      <c r="E834" s="11"/>
      <c r="F834" s="12"/>
      <c r="G834" s="11"/>
    </row>
    <row r="835" spans="1:7" ht="13.2" hidden="1">
      <c r="A835" s="11"/>
      <c r="B835" s="11"/>
      <c r="C835" s="11"/>
      <c r="D835" s="11"/>
      <c r="E835" s="11"/>
      <c r="F835" s="12"/>
      <c r="G835" s="11"/>
    </row>
    <row r="836" spans="1:7" ht="13.2" hidden="1">
      <c r="A836" s="11"/>
      <c r="B836" s="11"/>
      <c r="C836" s="11"/>
      <c r="D836" s="11"/>
      <c r="E836" s="11"/>
      <c r="F836" s="12"/>
      <c r="G836" s="11"/>
    </row>
    <row r="837" spans="1:7" ht="13.2" hidden="1">
      <c r="A837" s="11"/>
      <c r="B837" s="11"/>
      <c r="C837" s="11"/>
      <c r="D837" s="11"/>
      <c r="E837" s="11"/>
      <c r="F837" s="12"/>
      <c r="G837" s="11"/>
    </row>
    <row r="838" spans="1:7" ht="13.2" hidden="1">
      <c r="A838" s="11"/>
      <c r="B838" s="11"/>
      <c r="C838" s="11"/>
      <c r="D838" s="11"/>
      <c r="E838" s="11"/>
      <c r="F838" s="12"/>
      <c r="G838" s="11"/>
    </row>
    <row r="839" spans="1:7" ht="13.2" hidden="1">
      <c r="A839" s="11"/>
      <c r="B839" s="11"/>
      <c r="C839" s="11"/>
      <c r="D839" s="11"/>
      <c r="E839" s="11"/>
      <c r="F839" s="12"/>
      <c r="G839" s="11"/>
    </row>
    <row r="840" spans="1:7" ht="13.2" hidden="1">
      <c r="A840" s="11"/>
      <c r="B840" s="11"/>
      <c r="C840" s="11"/>
      <c r="D840" s="11"/>
      <c r="E840" s="11"/>
      <c r="F840" s="12"/>
      <c r="G840" s="11"/>
    </row>
    <row r="841" spans="1:7" ht="13.2" hidden="1">
      <c r="A841" s="11"/>
      <c r="B841" s="11"/>
      <c r="C841" s="11"/>
      <c r="D841" s="11"/>
      <c r="E841" s="11"/>
      <c r="F841" s="12"/>
      <c r="G841" s="11"/>
    </row>
    <row r="842" spans="1:7" ht="13.2" hidden="1">
      <c r="A842" s="11"/>
      <c r="B842" s="11"/>
      <c r="C842" s="11"/>
      <c r="D842" s="11"/>
      <c r="E842" s="11"/>
      <c r="F842" s="12"/>
      <c r="G842" s="11"/>
    </row>
    <row r="843" spans="1:7" ht="13.2" hidden="1">
      <c r="A843" s="11"/>
      <c r="B843" s="11"/>
      <c r="C843" s="11"/>
      <c r="D843" s="11"/>
      <c r="E843" s="11"/>
      <c r="F843" s="12"/>
      <c r="G843" s="11"/>
    </row>
    <row r="844" spans="1:7" ht="13.2" hidden="1">
      <c r="A844" s="11"/>
      <c r="B844" s="11"/>
      <c r="C844" s="11"/>
      <c r="D844" s="11"/>
      <c r="E844" s="11"/>
      <c r="F844" s="12"/>
      <c r="G844" s="11"/>
    </row>
    <row r="845" spans="1:7" ht="13.2" hidden="1">
      <c r="A845" s="11"/>
      <c r="B845" s="11"/>
      <c r="C845" s="11"/>
      <c r="D845" s="11"/>
      <c r="E845" s="11"/>
      <c r="F845" s="12"/>
      <c r="G845" s="11"/>
    </row>
    <row r="846" spans="1:7" ht="13.2" hidden="1">
      <c r="A846" s="11"/>
      <c r="B846" s="11"/>
      <c r="C846" s="11"/>
      <c r="D846" s="11"/>
      <c r="E846" s="11"/>
      <c r="F846" s="12"/>
      <c r="G846" s="11"/>
    </row>
    <row r="847" spans="1:7" ht="13.2" hidden="1">
      <c r="A847" s="11"/>
      <c r="B847" s="11"/>
      <c r="C847" s="11"/>
      <c r="D847" s="11"/>
      <c r="E847" s="11"/>
      <c r="F847" s="12"/>
      <c r="G847" s="11"/>
    </row>
    <row r="848" spans="1:7" ht="13.2" hidden="1">
      <c r="A848" s="11"/>
      <c r="B848" s="11"/>
      <c r="C848" s="11"/>
      <c r="D848" s="11"/>
      <c r="E848" s="11"/>
      <c r="F848" s="12"/>
      <c r="G848" s="11"/>
    </row>
    <row r="849" spans="1:7" ht="13.2" hidden="1">
      <c r="A849" s="11"/>
      <c r="B849" s="11"/>
      <c r="C849" s="11"/>
      <c r="D849" s="11"/>
      <c r="E849" s="11"/>
      <c r="F849" s="12"/>
      <c r="G849" s="11"/>
    </row>
    <row r="850" spans="1:7" ht="13.2" hidden="1">
      <c r="A850" s="11"/>
      <c r="B850" s="11"/>
      <c r="C850" s="11"/>
      <c r="D850" s="11"/>
      <c r="E850" s="11"/>
      <c r="F850" s="12"/>
      <c r="G850" s="11"/>
    </row>
    <row r="851" spans="1:7" ht="13.2" hidden="1">
      <c r="A851" s="11"/>
      <c r="B851" s="11"/>
      <c r="C851" s="11"/>
      <c r="D851" s="11"/>
      <c r="E851" s="11"/>
      <c r="F851" s="12"/>
      <c r="G851" s="11"/>
    </row>
    <row r="852" spans="1:7" ht="13.2" hidden="1">
      <c r="A852" s="11"/>
      <c r="B852" s="11"/>
      <c r="C852" s="11"/>
      <c r="D852" s="11"/>
      <c r="E852" s="11"/>
      <c r="F852" s="12"/>
      <c r="G852" s="11"/>
    </row>
    <row r="853" spans="1:7" ht="13.2" hidden="1">
      <c r="A853" s="11"/>
      <c r="B853" s="11"/>
      <c r="C853" s="11"/>
      <c r="D853" s="11"/>
      <c r="E853" s="11"/>
      <c r="F853" s="12"/>
      <c r="G853" s="11"/>
    </row>
    <row r="854" spans="1:7" ht="13.2" hidden="1">
      <c r="A854" s="11"/>
      <c r="B854" s="11"/>
      <c r="C854" s="11"/>
      <c r="D854" s="11"/>
      <c r="E854" s="11"/>
      <c r="F854" s="12"/>
      <c r="G854" s="11"/>
    </row>
    <row r="855" spans="1:7" ht="13.2" hidden="1">
      <c r="A855" s="11"/>
      <c r="B855" s="11"/>
      <c r="C855" s="11"/>
      <c r="D855" s="11"/>
      <c r="E855" s="11"/>
      <c r="F855" s="12"/>
      <c r="G855" s="11"/>
    </row>
    <row r="856" spans="1:7" ht="13.2" hidden="1">
      <c r="A856" s="11"/>
      <c r="B856" s="11"/>
      <c r="C856" s="11"/>
      <c r="D856" s="11"/>
      <c r="E856" s="11"/>
      <c r="F856" s="12"/>
      <c r="G856" s="11"/>
    </row>
    <row r="857" spans="1:7" ht="13.2" hidden="1">
      <c r="A857" s="11"/>
      <c r="B857" s="11"/>
      <c r="C857" s="11"/>
      <c r="D857" s="11"/>
      <c r="E857" s="11"/>
      <c r="F857" s="12"/>
      <c r="G857" s="11"/>
    </row>
    <row r="858" spans="1:7" ht="13.2" hidden="1">
      <c r="A858" s="11"/>
      <c r="B858" s="11"/>
      <c r="C858" s="11"/>
      <c r="D858" s="11"/>
      <c r="E858" s="11"/>
      <c r="F858" s="12"/>
      <c r="G858" s="11"/>
    </row>
    <row r="859" spans="1:7" ht="13.2" hidden="1">
      <c r="A859" s="11"/>
      <c r="B859" s="11"/>
      <c r="C859" s="11"/>
      <c r="D859" s="11"/>
      <c r="E859" s="11"/>
      <c r="F859" s="12"/>
      <c r="G859" s="11"/>
    </row>
    <row r="860" spans="1:7" ht="13.2" hidden="1">
      <c r="A860" s="11"/>
      <c r="B860" s="11"/>
      <c r="C860" s="11"/>
      <c r="D860" s="11"/>
      <c r="E860" s="11"/>
      <c r="F860" s="12"/>
      <c r="G860" s="11"/>
    </row>
    <row r="861" spans="1:7" ht="13.2" hidden="1">
      <c r="A861" s="11"/>
      <c r="B861" s="11"/>
      <c r="C861" s="11"/>
      <c r="D861" s="11"/>
      <c r="E861" s="11"/>
      <c r="F861" s="12"/>
      <c r="G861" s="11"/>
    </row>
    <row r="862" spans="1:7" ht="13.2" hidden="1">
      <c r="A862" s="11"/>
      <c r="B862" s="11"/>
      <c r="C862" s="11"/>
      <c r="D862" s="11"/>
      <c r="E862" s="11"/>
      <c r="F862" s="12"/>
      <c r="G862" s="11"/>
    </row>
    <row r="863" spans="1:7" ht="13.2" hidden="1">
      <c r="A863" s="11"/>
      <c r="B863" s="11"/>
      <c r="C863" s="11"/>
      <c r="D863" s="11"/>
      <c r="E863" s="11"/>
      <c r="F863" s="12"/>
      <c r="G863" s="11"/>
    </row>
    <row r="864" spans="1:7" ht="13.2" hidden="1">
      <c r="A864" s="11"/>
      <c r="B864" s="11"/>
      <c r="C864" s="11"/>
      <c r="D864" s="11"/>
      <c r="E864" s="11"/>
      <c r="F864" s="12"/>
      <c r="G864" s="11"/>
    </row>
    <row r="865" spans="1:7" ht="13.2" hidden="1">
      <c r="A865" s="11"/>
      <c r="B865" s="11"/>
      <c r="C865" s="11"/>
      <c r="D865" s="11"/>
      <c r="E865" s="11"/>
      <c r="F865" s="12"/>
      <c r="G865" s="11"/>
    </row>
    <row r="866" spans="1:7" ht="13.2" hidden="1">
      <c r="A866" s="11"/>
      <c r="B866" s="11"/>
      <c r="C866" s="11"/>
      <c r="D866" s="11"/>
      <c r="E866" s="11"/>
      <c r="F866" s="12"/>
      <c r="G866" s="11"/>
    </row>
    <row r="867" spans="1:7" ht="13.2" hidden="1">
      <c r="A867" s="11"/>
      <c r="B867" s="11"/>
      <c r="C867" s="11"/>
      <c r="D867" s="11"/>
      <c r="E867" s="11"/>
      <c r="F867" s="12"/>
      <c r="G867" s="11"/>
    </row>
    <row r="868" spans="1:7" ht="13.2" hidden="1">
      <c r="A868" s="11"/>
      <c r="B868" s="11"/>
      <c r="C868" s="11"/>
      <c r="D868" s="11"/>
      <c r="E868" s="11"/>
      <c r="F868" s="12"/>
      <c r="G868" s="11"/>
    </row>
    <row r="869" spans="1:7" ht="13.2" hidden="1">
      <c r="A869" s="11"/>
      <c r="B869" s="11"/>
      <c r="C869" s="11"/>
      <c r="D869" s="11"/>
      <c r="E869" s="11"/>
      <c r="F869" s="12"/>
      <c r="G869" s="11"/>
    </row>
    <row r="870" spans="1:7" ht="13.2" hidden="1">
      <c r="A870" s="11"/>
      <c r="B870" s="11"/>
      <c r="C870" s="11"/>
      <c r="D870" s="11"/>
      <c r="E870" s="11"/>
      <c r="F870" s="12"/>
      <c r="G870" s="11"/>
    </row>
    <row r="871" spans="1:7" ht="13.2" hidden="1">
      <c r="A871" s="11"/>
      <c r="B871" s="11"/>
      <c r="C871" s="11"/>
      <c r="D871" s="11"/>
      <c r="E871" s="11"/>
      <c r="F871" s="12"/>
      <c r="G871" s="11"/>
    </row>
    <row r="872" spans="1:7" ht="13.2" hidden="1">
      <c r="A872" s="11"/>
      <c r="B872" s="11"/>
      <c r="C872" s="11"/>
      <c r="D872" s="11"/>
      <c r="E872" s="11"/>
      <c r="F872" s="12"/>
      <c r="G872" s="11"/>
    </row>
    <row r="873" spans="1:7" ht="13.2" hidden="1">
      <c r="A873" s="11"/>
      <c r="B873" s="11"/>
      <c r="C873" s="11"/>
      <c r="D873" s="11"/>
      <c r="E873" s="11"/>
      <c r="F873" s="12"/>
      <c r="G873" s="11"/>
    </row>
    <row r="874" spans="1:7" ht="13.2" hidden="1">
      <c r="A874" s="11"/>
      <c r="B874" s="11"/>
      <c r="C874" s="11"/>
      <c r="D874" s="11"/>
      <c r="E874" s="11"/>
      <c r="F874" s="12"/>
      <c r="G874" s="11"/>
    </row>
    <row r="875" spans="1:7" ht="13.2" hidden="1">
      <c r="A875" s="11"/>
      <c r="B875" s="11"/>
      <c r="C875" s="11"/>
      <c r="D875" s="11"/>
      <c r="E875" s="11"/>
      <c r="F875" s="12"/>
      <c r="G875" s="11"/>
    </row>
    <row r="876" spans="1:7" ht="13.2" hidden="1">
      <c r="A876" s="11"/>
      <c r="B876" s="11"/>
      <c r="C876" s="11"/>
      <c r="D876" s="11"/>
      <c r="E876" s="11"/>
      <c r="F876" s="12"/>
      <c r="G876" s="11"/>
    </row>
    <row r="877" spans="1:7" ht="13.2" hidden="1">
      <c r="A877" s="11"/>
      <c r="B877" s="11"/>
      <c r="C877" s="11"/>
      <c r="D877" s="11"/>
      <c r="E877" s="11"/>
      <c r="F877" s="12"/>
      <c r="G877" s="11"/>
    </row>
    <row r="878" spans="1:7" ht="13.2" hidden="1">
      <c r="A878" s="11"/>
      <c r="B878" s="11"/>
      <c r="C878" s="11"/>
      <c r="D878" s="11"/>
      <c r="E878" s="11"/>
      <c r="F878" s="12"/>
      <c r="G878" s="11"/>
    </row>
    <row r="879" spans="1:7" ht="13.2" hidden="1">
      <c r="A879" s="11"/>
      <c r="B879" s="11"/>
      <c r="C879" s="11"/>
      <c r="D879" s="11"/>
      <c r="E879" s="11"/>
      <c r="F879" s="12"/>
      <c r="G879" s="11"/>
    </row>
    <row r="880" spans="1:7" ht="13.2" hidden="1">
      <c r="A880" s="11"/>
      <c r="B880" s="11"/>
      <c r="C880" s="11"/>
      <c r="D880" s="11"/>
      <c r="E880" s="11"/>
      <c r="F880" s="12"/>
      <c r="G880" s="11"/>
    </row>
    <row r="881" spans="1:7" ht="13.2" hidden="1">
      <c r="A881" s="11"/>
      <c r="B881" s="11"/>
      <c r="C881" s="11"/>
      <c r="D881" s="11"/>
      <c r="E881" s="11"/>
      <c r="F881" s="12"/>
      <c r="G881" s="11"/>
    </row>
    <row r="882" spans="1:7" ht="13.2" hidden="1">
      <c r="A882" s="11"/>
      <c r="B882" s="11"/>
      <c r="C882" s="11"/>
      <c r="D882" s="11"/>
      <c r="E882" s="11"/>
      <c r="F882" s="12"/>
      <c r="G882" s="11"/>
    </row>
    <row r="883" spans="1:7" ht="13.2" hidden="1">
      <c r="A883" s="11"/>
      <c r="B883" s="11"/>
      <c r="C883" s="11"/>
      <c r="D883" s="11"/>
      <c r="E883" s="11"/>
      <c r="F883" s="12"/>
      <c r="G883" s="11"/>
    </row>
    <row r="884" spans="1:7" ht="13.2" hidden="1">
      <c r="A884" s="11"/>
      <c r="B884" s="11"/>
      <c r="C884" s="11"/>
      <c r="D884" s="11"/>
      <c r="E884" s="11"/>
      <c r="F884" s="12"/>
      <c r="G884" s="11"/>
    </row>
    <row r="885" spans="1:7" ht="13.2" hidden="1">
      <c r="A885" s="11"/>
      <c r="B885" s="11"/>
      <c r="C885" s="11"/>
      <c r="D885" s="11"/>
      <c r="E885" s="11"/>
      <c r="F885" s="12"/>
      <c r="G885" s="11"/>
    </row>
    <row r="886" spans="1:7" ht="13.2" hidden="1">
      <c r="A886" s="11"/>
      <c r="B886" s="11"/>
      <c r="C886" s="11"/>
      <c r="D886" s="11"/>
      <c r="E886" s="11"/>
      <c r="F886" s="12"/>
      <c r="G886" s="11"/>
    </row>
    <row r="887" spans="1:7" ht="13.2" hidden="1">
      <c r="A887" s="11"/>
      <c r="B887" s="11"/>
      <c r="C887" s="11"/>
      <c r="D887" s="11"/>
      <c r="E887" s="11"/>
      <c r="F887" s="12"/>
      <c r="G887" s="11"/>
    </row>
    <row r="888" spans="1:7" ht="13.2" hidden="1">
      <c r="A888" s="11"/>
      <c r="B888" s="11"/>
      <c r="C888" s="11"/>
      <c r="D888" s="11"/>
      <c r="E888" s="11"/>
      <c r="F888" s="12"/>
      <c r="G888" s="11"/>
    </row>
    <row r="889" spans="1:7" ht="13.2" hidden="1">
      <c r="A889" s="11"/>
      <c r="B889" s="11"/>
      <c r="C889" s="11"/>
      <c r="D889" s="11"/>
      <c r="E889" s="11"/>
      <c r="F889" s="12"/>
      <c r="G889" s="11"/>
    </row>
    <row r="890" spans="1:7" ht="13.2" hidden="1">
      <c r="A890" s="11"/>
      <c r="B890" s="11"/>
      <c r="C890" s="11"/>
      <c r="D890" s="11"/>
      <c r="E890" s="11"/>
      <c r="F890" s="12"/>
      <c r="G890" s="11"/>
    </row>
    <row r="891" spans="1:7" ht="13.2" hidden="1">
      <c r="A891" s="11"/>
      <c r="B891" s="11"/>
      <c r="C891" s="11"/>
      <c r="D891" s="11"/>
      <c r="E891" s="11"/>
      <c r="F891" s="12"/>
      <c r="G891" s="11"/>
    </row>
    <row r="892" spans="1:7" ht="13.2" hidden="1">
      <c r="A892" s="11"/>
      <c r="B892" s="11"/>
      <c r="C892" s="11"/>
      <c r="D892" s="11"/>
      <c r="E892" s="11"/>
      <c r="F892" s="12"/>
      <c r="G892" s="11"/>
    </row>
    <row r="893" spans="1:7" ht="13.2" hidden="1">
      <c r="A893" s="11"/>
      <c r="B893" s="11"/>
      <c r="C893" s="11"/>
      <c r="D893" s="11"/>
      <c r="E893" s="11"/>
      <c r="F893" s="12"/>
      <c r="G893" s="11"/>
    </row>
    <row r="894" spans="1:7" ht="13.2" hidden="1">
      <c r="A894" s="11"/>
      <c r="B894" s="11"/>
      <c r="C894" s="11"/>
      <c r="D894" s="11"/>
      <c r="E894" s="11"/>
      <c r="F894" s="12"/>
      <c r="G894" s="11"/>
    </row>
    <row r="895" spans="1:7" ht="13.2" hidden="1">
      <c r="A895" s="11"/>
      <c r="B895" s="11"/>
      <c r="C895" s="11"/>
      <c r="D895" s="11"/>
      <c r="E895" s="11"/>
      <c r="F895" s="12"/>
      <c r="G895" s="11"/>
    </row>
    <row r="896" spans="1:7" ht="13.2" hidden="1">
      <c r="A896" s="11"/>
      <c r="B896" s="11"/>
      <c r="C896" s="11"/>
      <c r="D896" s="11"/>
      <c r="E896" s="11"/>
      <c r="F896" s="12"/>
      <c r="G896" s="11"/>
    </row>
    <row r="897" spans="1:7" ht="13.2" hidden="1">
      <c r="A897" s="11"/>
      <c r="B897" s="11"/>
      <c r="C897" s="11"/>
      <c r="D897" s="11"/>
      <c r="E897" s="11"/>
      <c r="F897" s="12"/>
      <c r="G897" s="11"/>
    </row>
    <row r="898" spans="1:7" ht="13.2" hidden="1">
      <c r="A898" s="11"/>
      <c r="B898" s="11"/>
      <c r="C898" s="11"/>
      <c r="D898" s="11"/>
      <c r="E898" s="11"/>
      <c r="F898" s="12"/>
      <c r="G898" s="11"/>
    </row>
    <row r="899" spans="1:7" ht="13.2" hidden="1">
      <c r="A899" s="11"/>
      <c r="B899" s="11"/>
      <c r="C899" s="11"/>
      <c r="D899" s="11"/>
      <c r="E899" s="11"/>
      <c r="F899" s="12"/>
      <c r="G899" s="11"/>
    </row>
    <row r="900" spans="1:7" ht="13.2" hidden="1">
      <c r="A900" s="11"/>
      <c r="B900" s="11"/>
      <c r="C900" s="11"/>
      <c r="D900" s="11"/>
      <c r="E900" s="11"/>
      <c r="F900" s="12"/>
      <c r="G900" s="11"/>
    </row>
    <row r="901" spans="1:7" ht="13.2" hidden="1">
      <c r="A901" s="11"/>
      <c r="B901" s="11"/>
      <c r="C901" s="11"/>
      <c r="D901" s="11"/>
      <c r="E901" s="11"/>
      <c r="F901" s="12"/>
      <c r="G901" s="11"/>
    </row>
    <row r="902" spans="1:7" ht="13.2" hidden="1">
      <c r="A902" s="11"/>
      <c r="B902" s="11"/>
      <c r="C902" s="11"/>
      <c r="D902" s="11"/>
      <c r="E902" s="11"/>
      <c r="F902" s="12"/>
      <c r="G902" s="11"/>
    </row>
    <row r="903" spans="1:7" ht="13.2" hidden="1">
      <c r="A903" s="11"/>
      <c r="B903" s="11"/>
      <c r="C903" s="11"/>
      <c r="D903" s="11"/>
      <c r="E903" s="11"/>
      <c r="F903" s="12"/>
      <c r="G903" s="11"/>
    </row>
    <row r="904" spans="1:7" ht="13.2" hidden="1">
      <c r="A904" s="11"/>
      <c r="B904" s="11"/>
      <c r="C904" s="11"/>
      <c r="D904" s="11"/>
      <c r="E904" s="11"/>
      <c r="F904" s="12"/>
      <c r="G904" s="11"/>
    </row>
    <row r="905" spans="1:7" ht="13.2" hidden="1">
      <c r="A905" s="11"/>
      <c r="B905" s="11"/>
      <c r="C905" s="11"/>
      <c r="D905" s="11"/>
      <c r="E905" s="11"/>
      <c r="F905" s="12"/>
      <c r="G905" s="11"/>
    </row>
    <row r="906" spans="1:7" ht="13.2" hidden="1">
      <c r="A906" s="11"/>
      <c r="B906" s="11"/>
      <c r="C906" s="11"/>
      <c r="D906" s="11"/>
      <c r="E906" s="11"/>
      <c r="F906" s="12"/>
      <c r="G906" s="11"/>
    </row>
    <row r="907" spans="1:7" ht="13.2" hidden="1">
      <c r="A907" s="11"/>
      <c r="B907" s="11"/>
      <c r="C907" s="11"/>
      <c r="D907" s="11"/>
      <c r="E907" s="11"/>
      <c r="F907" s="12"/>
      <c r="G907" s="11"/>
    </row>
    <row r="908" spans="1:7" ht="13.2" hidden="1">
      <c r="A908" s="11"/>
      <c r="B908" s="11"/>
      <c r="C908" s="11"/>
      <c r="D908" s="11"/>
      <c r="E908" s="11"/>
      <c r="F908" s="12"/>
      <c r="G908" s="11"/>
    </row>
    <row r="909" spans="1:7" ht="13.2" hidden="1">
      <c r="A909" s="11"/>
      <c r="B909" s="11"/>
      <c r="C909" s="11"/>
      <c r="D909" s="11"/>
      <c r="E909" s="11"/>
      <c r="F909" s="12"/>
      <c r="G909" s="11"/>
    </row>
    <row r="910" spans="1:7" ht="13.2" hidden="1">
      <c r="A910" s="11"/>
      <c r="B910" s="11"/>
      <c r="C910" s="11"/>
      <c r="D910" s="11"/>
      <c r="E910" s="11"/>
      <c r="F910" s="12"/>
      <c r="G910" s="11"/>
    </row>
    <row r="911" spans="1:7" ht="13.2" hidden="1">
      <c r="A911" s="11"/>
      <c r="B911" s="11"/>
      <c r="C911" s="11"/>
      <c r="D911" s="11"/>
      <c r="E911" s="11"/>
      <c r="F911" s="12"/>
      <c r="G911" s="11"/>
    </row>
    <row r="912" spans="1:7" ht="13.2" hidden="1">
      <c r="A912" s="11"/>
      <c r="B912" s="11"/>
      <c r="C912" s="11"/>
      <c r="D912" s="11"/>
      <c r="E912" s="11"/>
      <c r="F912" s="12"/>
      <c r="G912" s="11"/>
    </row>
    <row r="913" spans="1:7" ht="13.2" hidden="1">
      <c r="A913" s="11"/>
      <c r="B913" s="11"/>
      <c r="C913" s="11"/>
      <c r="D913" s="11"/>
      <c r="E913" s="11"/>
      <c r="F913" s="12"/>
      <c r="G913" s="11"/>
    </row>
    <row r="914" spans="1:7" ht="13.2" hidden="1">
      <c r="A914" s="11"/>
      <c r="B914" s="11"/>
      <c r="C914" s="11"/>
      <c r="D914" s="11"/>
      <c r="E914" s="11"/>
      <c r="F914" s="12"/>
      <c r="G914" s="11"/>
    </row>
    <row r="915" spans="1:7" ht="13.2" hidden="1">
      <c r="A915" s="11"/>
      <c r="B915" s="11"/>
      <c r="C915" s="11"/>
      <c r="D915" s="11"/>
      <c r="E915" s="11"/>
      <c r="F915" s="12"/>
      <c r="G915" s="11"/>
    </row>
    <row r="916" spans="1:7" ht="13.2" hidden="1">
      <c r="A916" s="11"/>
      <c r="B916" s="11"/>
      <c r="C916" s="11"/>
      <c r="D916" s="11"/>
      <c r="E916" s="11"/>
      <c r="F916" s="12"/>
      <c r="G916" s="11"/>
    </row>
    <row r="917" spans="1:7" ht="13.2" hidden="1">
      <c r="A917" s="11"/>
      <c r="B917" s="11"/>
      <c r="C917" s="11"/>
      <c r="D917" s="11"/>
      <c r="E917" s="11"/>
      <c r="F917" s="12"/>
      <c r="G917" s="11"/>
    </row>
    <row r="918" spans="1:7" ht="13.2" hidden="1">
      <c r="A918" s="11"/>
      <c r="B918" s="11"/>
      <c r="C918" s="11"/>
      <c r="D918" s="11"/>
      <c r="E918" s="11"/>
      <c r="F918" s="12"/>
      <c r="G918" s="11"/>
    </row>
    <row r="919" spans="1:7" ht="13.2" hidden="1">
      <c r="A919" s="11"/>
      <c r="B919" s="11"/>
      <c r="C919" s="11"/>
      <c r="D919" s="11"/>
      <c r="E919" s="11"/>
      <c r="F919" s="12"/>
      <c r="G919" s="11"/>
    </row>
    <row r="920" spans="1:7" ht="13.2" hidden="1">
      <c r="A920" s="11"/>
      <c r="B920" s="11"/>
      <c r="C920" s="11"/>
      <c r="D920" s="11"/>
      <c r="E920" s="11"/>
      <c r="F920" s="12"/>
      <c r="G920" s="11"/>
    </row>
    <row r="921" spans="1:7" ht="13.2" hidden="1">
      <c r="A921" s="11"/>
      <c r="B921" s="11"/>
      <c r="C921" s="11"/>
      <c r="D921" s="11"/>
      <c r="E921" s="11"/>
      <c r="F921" s="12"/>
      <c r="G921" s="11"/>
    </row>
    <row r="922" spans="1:7" ht="13.2" hidden="1">
      <c r="A922" s="11"/>
      <c r="B922" s="11"/>
      <c r="C922" s="11"/>
      <c r="D922" s="11"/>
      <c r="E922" s="11"/>
      <c r="F922" s="12"/>
      <c r="G922" s="11"/>
    </row>
    <row r="923" spans="1:7" ht="13.2" hidden="1">
      <c r="A923" s="11"/>
      <c r="B923" s="11"/>
      <c r="C923" s="11"/>
      <c r="D923" s="11"/>
      <c r="E923" s="11"/>
      <c r="F923" s="12"/>
      <c r="G923" s="11"/>
    </row>
    <row r="924" spans="1:7" ht="13.2" hidden="1">
      <c r="A924" s="11"/>
      <c r="B924" s="11"/>
      <c r="C924" s="11"/>
      <c r="D924" s="11"/>
      <c r="E924" s="11"/>
      <c r="F924" s="12"/>
      <c r="G924" s="11"/>
    </row>
    <row r="925" spans="1:7" ht="13.2" hidden="1">
      <c r="A925" s="11"/>
      <c r="B925" s="11"/>
      <c r="C925" s="11"/>
      <c r="D925" s="11"/>
      <c r="E925" s="11"/>
      <c r="F925" s="12"/>
      <c r="G925" s="11"/>
    </row>
    <row r="926" spans="1:7" ht="13.2" hidden="1">
      <c r="A926" s="11"/>
      <c r="B926" s="11"/>
      <c r="C926" s="11"/>
      <c r="D926" s="11"/>
      <c r="E926" s="11"/>
      <c r="F926" s="12"/>
      <c r="G926" s="11"/>
    </row>
    <row r="927" spans="1:7" ht="13.2" hidden="1">
      <c r="A927" s="11"/>
      <c r="B927" s="11"/>
      <c r="C927" s="11"/>
      <c r="D927" s="11"/>
      <c r="E927" s="11"/>
      <c r="F927" s="12"/>
      <c r="G927" s="11"/>
    </row>
    <row r="928" spans="1:7" ht="13.2" hidden="1">
      <c r="A928" s="11"/>
      <c r="B928" s="11"/>
      <c r="C928" s="11"/>
      <c r="D928" s="11"/>
      <c r="E928" s="11"/>
      <c r="F928" s="12"/>
      <c r="G928" s="11"/>
    </row>
    <row r="929" spans="1:7" ht="13.2" hidden="1">
      <c r="A929" s="11"/>
      <c r="B929" s="11"/>
      <c r="C929" s="11"/>
      <c r="D929" s="11"/>
      <c r="E929" s="11"/>
      <c r="F929" s="12"/>
      <c r="G929" s="11"/>
    </row>
    <row r="930" spans="1:7" ht="13.2" hidden="1">
      <c r="A930" s="11"/>
      <c r="B930" s="11"/>
      <c r="C930" s="11"/>
      <c r="D930" s="11"/>
      <c r="E930" s="11"/>
      <c r="F930" s="12"/>
      <c r="G930" s="11"/>
    </row>
    <row r="931" spans="1:7" ht="13.2" hidden="1">
      <c r="A931" s="11"/>
      <c r="B931" s="11"/>
      <c r="C931" s="11"/>
      <c r="D931" s="11"/>
      <c r="E931" s="11"/>
      <c r="F931" s="12"/>
      <c r="G931" s="11"/>
    </row>
    <row r="932" spans="1:7" ht="13.2" hidden="1">
      <c r="A932" s="11"/>
      <c r="B932" s="11"/>
      <c r="C932" s="11"/>
      <c r="D932" s="11"/>
      <c r="E932" s="11"/>
      <c r="F932" s="12"/>
      <c r="G932" s="11"/>
    </row>
    <row r="933" spans="1:7" ht="13.2" hidden="1">
      <c r="A933" s="11"/>
      <c r="B933" s="11"/>
      <c r="C933" s="11"/>
      <c r="D933" s="11"/>
      <c r="E933" s="11"/>
      <c r="F933" s="12"/>
      <c r="G933" s="11"/>
    </row>
    <row r="934" spans="1:7" ht="13.2" hidden="1">
      <c r="A934" s="11"/>
      <c r="B934" s="11"/>
      <c r="C934" s="11"/>
      <c r="D934" s="11"/>
      <c r="E934" s="11"/>
      <c r="F934" s="12"/>
      <c r="G934" s="11"/>
    </row>
    <row r="935" spans="1:7" ht="13.2" hidden="1">
      <c r="A935" s="11"/>
      <c r="B935" s="11"/>
      <c r="C935" s="11"/>
      <c r="D935" s="11"/>
      <c r="E935" s="11"/>
      <c r="F935" s="12"/>
      <c r="G935" s="11"/>
    </row>
    <row r="936" spans="1:7" ht="13.2" hidden="1">
      <c r="A936" s="11"/>
      <c r="B936" s="11"/>
      <c r="C936" s="11"/>
      <c r="D936" s="11"/>
      <c r="E936" s="11"/>
      <c r="F936" s="12"/>
      <c r="G936" s="11"/>
    </row>
    <row r="937" spans="1:7" ht="13.2" hidden="1">
      <c r="A937" s="11"/>
      <c r="B937" s="11"/>
      <c r="C937" s="11"/>
      <c r="D937" s="11"/>
      <c r="E937" s="11"/>
      <c r="F937" s="12"/>
      <c r="G937" s="11"/>
    </row>
    <row r="938" spans="1:7" ht="13.2" hidden="1">
      <c r="A938" s="11"/>
      <c r="B938" s="11"/>
      <c r="C938" s="11"/>
      <c r="D938" s="11"/>
      <c r="E938" s="11"/>
      <c r="F938" s="12"/>
      <c r="G938" s="11"/>
    </row>
    <row r="939" spans="1:7" ht="13.2" hidden="1">
      <c r="A939" s="11"/>
      <c r="B939" s="11"/>
      <c r="C939" s="11"/>
      <c r="D939" s="11"/>
      <c r="E939" s="11"/>
      <c r="F939" s="12"/>
      <c r="G939" s="11"/>
    </row>
    <row r="940" spans="1:7" ht="13.2" hidden="1">
      <c r="A940" s="11"/>
      <c r="B940" s="11"/>
      <c r="C940" s="11"/>
      <c r="D940" s="11"/>
      <c r="E940" s="11"/>
      <c r="F940" s="12"/>
      <c r="G940" s="11"/>
    </row>
    <row r="941" spans="1:7" ht="13.2" hidden="1">
      <c r="A941" s="11"/>
      <c r="B941" s="11"/>
      <c r="C941" s="11"/>
      <c r="D941" s="11"/>
      <c r="E941" s="11"/>
      <c r="F941" s="12"/>
      <c r="G941" s="11"/>
    </row>
    <row r="942" spans="1:7" ht="13.2" hidden="1">
      <c r="A942" s="11"/>
      <c r="B942" s="11"/>
      <c r="C942" s="11"/>
      <c r="D942" s="11"/>
      <c r="E942" s="11"/>
      <c r="F942" s="12"/>
      <c r="G942" s="11"/>
    </row>
    <row r="943" spans="1:7" ht="13.2" hidden="1">
      <c r="A943" s="11"/>
      <c r="B943" s="11"/>
      <c r="C943" s="11"/>
      <c r="D943" s="11"/>
      <c r="E943" s="11"/>
      <c r="F943" s="12"/>
      <c r="G943" s="11"/>
    </row>
    <row r="944" spans="1:7" ht="13.2" hidden="1">
      <c r="A944" s="11"/>
      <c r="B944" s="11"/>
      <c r="C944" s="11"/>
      <c r="D944" s="11"/>
      <c r="E944" s="11"/>
      <c r="F944" s="12"/>
      <c r="G944" s="11"/>
    </row>
    <row r="945" spans="1:7" ht="13.2" hidden="1">
      <c r="A945" s="11"/>
      <c r="B945" s="11"/>
      <c r="C945" s="11"/>
      <c r="D945" s="11"/>
      <c r="E945" s="11"/>
      <c r="F945" s="12"/>
      <c r="G945" s="11"/>
    </row>
    <row r="946" spans="1:7" ht="13.2" hidden="1">
      <c r="A946" s="11"/>
      <c r="B946" s="11"/>
      <c r="C946" s="11"/>
      <c r="D946" s="11"/>
      <c r="E946" s="11"/>
      <c r="F946" s="12"/>
      <c r="G946" s="11"/>
    </row>
    <row r="947" spans="1:7" ht="13.2" hidden="1">
      <c r="A947" s="11"/>
      <c r="B947" s="11"/>
      <c r="C947" s="11"/>
      <c r="D947" s="11"/>
      <c r="E947" s="11"/>
      <c r="F947" s="12"/>
      <c r="G947" s="11"/>
    </row>
    <row r="948" spans="1:7" ht="13.2" hidden="1">
      <c r="A948" s="11"/>
      <c r="B948" s="11"/>
      <c r="C948" s="11"/>
      <c r="D948" s="11"/>
      <c r="E948" s="11"/>
      <c r="F948" s="12"/>
      <c r="G948" s="11"/>
    </row>
    <row r="949" spans="1:7" ht="13.2" hidden="1">
      <c r="A949" s="11"/>
      <c r="B949" s="11"/>
      <c r="C949" s="11"/>
      <c r="D949" s="11"/>
      <c r="E949" s="11"/>
      <c r="F949" s="12"/>
      <c r="G949" s="11"/>
    </row>
    <row r="950" spans="1:7" ht="13.2" hidden="1">
      <c r="A950" s="11"/>
      <c r="B950" s="11"/>
      <c r="C950" s="11"/>
      <c r="D950" s="11"/>
      <c r="E950" s="11"/>
      <c r="F950" s="12"/>
      <c r="G950" s="11"/>
    </row>
    <row r="951" spans="1:7" ht="13.2" hidden="1">
      <c r="A951" s="11"/>
      <c r="B951" s="11"/>
      <c r="C951" s="11"/>
      <c r="D951" s="11"/>
      <c r="E951" s="11"/>
      <c r="F951" s="12"/>
      <c r="G951" s="11"/>
    </row>
    <row r="952" spans="1:7" ht="13.2" hidden="1">
      <c r="A952" s="11"/>
      <c r="B952" s="11"/>
      <c r="C952" s="11"/>
      <c r="D952" s="11"/>
      <c r="E952" s="11"/>
      <c r="F952" s="12"/>
      <c r="G952" s="11"/>
    </row>
    <row r="953" spans="1:7" ht="13.2" hidden="1">
      <c r="A953" s="11"/>
      <c r="B953" s="11"/>
      <c r="C953" s="11"/>
      <c r="D953" s="11"/>
      <c r="E953" s="11"/>
      <c r="F953" s="12"/>
      <c r="G953" s="11"/>
    </row>
    <row r="954" spans="1:7" ht="13.2" hidden="1">
      <c r="A954" s="11"/>
      <c r="B954" s="11"/>
      <c r="C954" s="11"/>
      <c r="D954" s="11"/>
      <c r="E954" s="11"/>
      <c r="F954" s="12"/>
      <c r="G954" s="11"/>
    </row>
    <row r="955" spans="1:7" ht="13.2" hidden="1">
      <c r="A955" s="11"/>
      <c r="B955" s="11"/>
      <c r="C955" s="11"/>
      <c r="D955" s="11"/>
      <c r="E955" s="11"/>
      <c r="F955" s="12"/>
      <c r="G955" s="11"/>
    </row>
    <row r="956" spans="1:7" ht="13.2" hidden="1">
      <c r="A956" s="11"/>
      <c r="B956" s="11"/>
      <c r="C956" s="11"/>
      <c r="D956" s="11"/>
      <c r="E956" s="11"/>
      <c r="F956" s="12"/>
      <c r="G956" s="11"/>
    </row>
    <row r="957" spans="1:7" ht="13.2" hidden="1">
      <c r="A957" s="11"/>
      <c r="B957" s="11"/>
      <c r="C957" s="11"/>
      <c r="D957" s="11"/>
      <c r="E957" s="11"/>
      <c r="F957" s="12"/>
      <c r="G957" s="11"/>
    </row>
    <row r="958" spans="1:7" ht="13.2" hidden="1">
      <c r="A958" s="11"/>
      <c r="B958" s="11"/>
      <c r="C958" s="11"/>
      <c r="D958" s="11"/>
      <c r="E958" s="11"/>
      <c r="F958" s="12"/>
      <c r="G958" s="11"/>
    </row>
    <row r="959" spans="1:7" ht="13.2" hidden="1">
      <c r="A959" s="11"/>
      <c r="B959" s="11"/>
      <c r="C959" s="11"/>
      <c r="D959" s="11"/>
      <c r="E959" s="11"/>
      <c r="F959" s="12"/>
      <c r="G959" s="11"/>
    </row>
    <row r="960" spans="1:7" ht="13.2" hidden="1">
      <c r="A960" s="11"/>
      <c r="B960" s="11"/>
      <c r="C960" s="11"/>
      <c r="D960" s="11"/>
      <c r="E960" s="11"/>
      <c r="F960" s="12"/>
      <c r="G960" s="11"/>
    </row>
    <row r="961" spans="1:7" ht="13.2" hidden="1">
      <c r="A961" s="11"/>
      <c r="B961" s="11"/>
      <c r="C961" s="11"/>
      <c r="D961" s="11"/>
      <c r="E961" s="11"/>
      <c r="F961" s="12"/>
      <c r="G961" s="11"/>
    </row>
    <row r="962" spans="1:7" ht="13.2" hidden="1">
      <c r="A962" s="11"/>
      <c r="B962" s="11"/>
      <c r="C962" s="11"/>
      <c r="D962" s="11"/>
      <c r="E962" s="11"/>
      <c r="F962" s="12"/>
      <c r="G962" s="11"/>
    </row>
    <row r="963" spans="1:7" ht="13.2" hidden="1">
      <c r="A963" s="11"/>
      <c r="B963" s="11"/>
      <c r="C963" s="11"/>
      <c r="D963" s="11"/>
      <c r="E963" s="11"/>
      <c r="F963" s="12"/>
      <c r="G963" s="11"/>
    </row>
    <row r="964" spans="1:7" ht="13.2" hidden="1">
      <c r="A964" s="11"/>
      <c r="B964" s="11"/>
      <c r="C964" s="11"/>
      <c r="D964" s="11"/>
      <c r="E964" s="11"/>
      <c r="F964" s="12"/>
      <c r="G964" s="11"/>
    </row>
    <row r="965" spans="1:7" ht="13.2" hidden="1">
      <c r="A965" s="11"/>
      <c r="B965" s="11"/>
      <c r="C965" s="11"/>
      <c r="D965" s="11"/>
      <c r="E965" s="11"/>
      <c r="F965" s="12"/>
      <c r="G965" s="11"/>
    </row>
    <row r="966" spans="1:7" ht="13.2" hidden="1">
      <c r="A966" s="11"/>
      <c r="B966" s="11"/>
      <c r="C966" s="11"/>
      <c r="D966" s="11"/>
      <c r="E966" s="11"/>
      <c r="F966" s="12"/>
      <c r="G966" s="11"/>
    </row>
    <row r="967" spans="1:7" ht="13.2" hidden="1">
      <c r="A967" s="11"/>
      <c r="B967" s="11"/>
      <c r="C967" s="11"/>
      <c r="D967" s="11"/>
      <c r="E967" s="11"/>
      <c r="F967" s="12"/>
      <c r="G967" s="11"/>
    </row>
    <row r="968" spans="1:7" ht="13.2" hidden="1">
      <c r="A968" s="11"/>
      <c r="B968" s="11"/>
      <c r="C968" s="11"/>
      <c r="D968" s="11"/>
      <c r="E968" s="11"/>
      <c r="F968" s="12"/>
      <c r="G968" s="11"/>
    </row>
    <row r="969" spans="1:7" ht="13.2" hidden="1">
      <c r="A969" s="11"/>
      <c r="B969" s="11"/>
      <c r="C969" s="11"/>
      <c r="D969" s="11"/>
      <c r="E969" s="11"/>
      <c r="F969" s="12"/>
      <c r="G969" s="11"/>
    </row>
    <row r="970" spans="1:7" ht="13.2" hidden="1">
      <c r="A970" s="11"/>
      <c r="B970" s="11"/>
      <c r="C970" s="11"/>
      <c r="D970" s="11"/>
      <c r="E970" s="11"/>
      <c r="F970" s="12"/>
      <c r="G970" s="11"/>
    </row>
    <row r="971" spans="1:7" ht="13.2" hidden="1">
      <c r="A971" s="11"/>
      <c r="B971" s="11"/>
      <c r="C971" s="11"/>
      <c r="D971" s="11"/>
      <c r="E971" s="11"/>
      <c r="F971" s="12"/>
      <c r="G971" s="11"/>
    </row>
    <row r="972" spans="1:7" ht="13.2" hidden="1">
      <c r="A972" s="11"/>
      <c r="B972" s="11"/>
      <c r="C972" s="11"/>
      <c r="D972" s="11"/>
      <c r="E972" s="11"/>
      <c r="F972" s="12"/>
      <c r="G972" s="11"/>
    </row>
    <row r="973" spans="1:7" ht="13.2" hidden="1">
      <c r="A973" s="11"/>
      <c r="B973" s="11"/>
      <c r="C973" s="11"/>
      <c r="D973" s="11"/>
      <c r="E973" s="11"/>
      <c r="F973" s="12"/>
      <c r="G973" s="11"/>
    </row>
    <row r="974" spans="1:7" ht="13.2" hidden="1">
      <c r="A974" s="11"/>
      <c r="B974" s="11"/>
      <c r="C974" s="11"/>
      <c r="D974" s="11"/>
      <c r="E974" s="11"/>
      <c r="F974" s="12"/>
      <c r="G974" s="11"/>
    </row>
    <row r="975" spans="1:7" ht="13.2" hidden="1">
      <c r="A975" s="11"/>
      <c r="B975" s="11"/>
      <c r="C975" s="11"/>
      <c r="D975" s="11"/>
      <c r="E975" s="11"/>
      <c r="F975" s="12"/>
      <c r="G975" s="11"/>
    </row>
    <row r="976" spans="1:7" ht="13.2" hidden="1">
      <c r="A976" s="11"/>
      <c r="B976" s="11"/>
      <c r="C976" s="11"/>
      <c r="D976" s="11"/>
      <c r="E976" s="11"/>
      <c r="F976" s="12"/>
      <c r="G976" s="11"/>
    </row>
    <row r="977" spans="1:7" ht="13.2" hidden="1">
      <c r="A977" s="11"/>
      <c r="B977" s="11"/>
      <c r="C977" s="11"/>
      <c r="D977" s="11"/>
      <c r="E977" s="11"/>
      <c r="F977" s="12"/>
      <c r="G977" s="11"/>
    </row>
    <row r="978" spans="1:7" ht="13.2" hidden="1">
      <c r="A978" s="11"/>
      <c r="B978" s="11"/>
      <c r="C978" s="11"/>
      <c r="D978" s="11"/>
      <c r="E978" s="11"/>
      <c r="F978" s="12"/>
      <c r="G978" s="11"/>
    </row>
    <row r="979" spans="1:7" ht="13.2" hidden="1">
      <c r="A979" s="11"/>
      <c r="B979" s="11"/>
      <c r="C979" s="11"/>
      <c r="D979" s="11"/>
      <c r="E979" s="11"/>
      <c r="F979" s="12"/>
      <c r="G979" s="11"/>
    </row>
    <row r="980" spans="1:7" ht="13.2" hidden="1">
      <c r="A980" s="11"/>
      <c r="B980" s="11"/>
      <c r="C980" s="11"/>
      <c r="D980" s="11"/>
      <c r="E980" s="11"/>
      <c r="F980" s="12"/>
      <c r="G980" s="11"/>
    </row>
    <row r="981" spans="1:7" ht="13.2" hidden="1">
      <c r="A981" s="11"/>
      <c r="B981" s="11"/>
      <c r="C981" s="11"/>
      <c r="D981" s="11"/>
      <c r="E981" s="11"/>
      <c r="F981" s="12"/>
      <c r="G981" s="11"/>
    </row>
    <row r="982" spans="1:7" ht="13.2" hidden="1">
      <c r="A982" s="11"/>
      <c r="B982" s="11"/>
      <c r="C982" s="11"/>
      <c r="D982" s="11"/>
      <c r="E982" s="11"/>
      <c r="F982" s="12"/>
      <c r="G982" s="11"/>
    </row>
    <row r="983" spans="1:7" ht="13.2" hidden="1">
      <c r="A983" s="11"/>
      <c r="B983" s="11"/>
      <c r="C983" s="11"/>
      <c r="D983" s="11"/>
      <c r="E983" s="11"/>
      <c r="F983" s="12"/>
      <c r="G983" s="11"/>
    </row>
    <row r="984" spans="1:7" ht="13.2" hidden="1">
      <c r="A984" s="11"/>
      <c r="B984" s="11"/>
      <c r="C984" s="11"/>
      <c r="D984" s="11"/>
      <c r="E984" s="11"/>
      <c r="F984" s="12"/>
      <c r="G984" s="11"/>
    </row>
    <row r="985" spans="1:7" ht="13.2" hidden="1">
      <c r="A985" s="11"/>
      <c r="B985" s="11"/>
      <c r="C985" s="11"/>
      <c r="D985" s="11"/>
      <c r="E985" s="11"/>
      <c r="F985" s="12"/>
      <c r="G985" s="11"/>
    </row>
    <row r="986" spans="1:7" ht="13.2" hidden="1">
      <c r="A986" s="11"/>
      <c r="B986" s="11"/>
      <c r="C986" s="11"/>
      <c r="D986" s="11"/>
      <c r="E986" s="11"/>
      <c r="F986" s="12"/>
      <c r="G986" s="11"/>
    </row>
    <row r="987" spans="1:7" ht="13.2" hidden="1">
      <c r="A987" s="11"/>
      <c r="B987" s="11"/>
      <c r="C987" s="11"/>
      <c r="D987" s="11"/>
      <c r="E987" s="11"/>
      <c r="F987" s="12"/>
      <c r="G987" s="11"/>
    </row>
    <row r="988" spans="1:7" ht="13.2" hidden="1">
      <c r="A988" s="11"/>
      <c r="B988" s="11"/>
      <c r="C988" s="11"/>
      <c r="D988" s="11"/>
      <c r="E988" s="11"/>
      <c r="F988" s="12"/>
      <c r="G988" s="11"/>
    </row>
    <row r="989" spans="1:7" ht="13.2" hidden="1">
      <c r="A989" s="11"/>
      <c r="B989" s="11"/>
      <c r="C989" s="11"/>
      <c r="D989" s="11"/>
      <c r="E989" s="11"/>
      <c r="F989" s="12"/>
      <c r="G989" s="11"/>
    </row>
    <row r="990" spans="1:7" ht="13.2" hidden="1">
      <c r="A990" s="11"/>
      <c r="B990" s="11"/>
      <c r="C990" s="11"/>
      <c r="D990" s="11"/>
      <c r="E990" s="11"/>
      <c r="F990" s="12"/>
      <c r="G990" s="11"/>
    </row>
    <row r="991" spans="1:7" ht="13.2" hidden="1">
      <c r="A991" s="11"/>
      <c r="B991" s="11"/>
      <c r="C991" s="11"/>
      <c r="D991" s="11"/>
      <c r="E991" s="11"/>
      <c r="F991" s="12"/>
      <c r="G991" s="11"/>
    </row>
    <row r="992" spans="1:7" ht="13.2" hidden="1">
      <c r="A992" s="11"/>
      <c r="B992" s="11"/>
      <c r="C992" s="11"/>
      <c r="D992" s="11"/>
      <c r="E992" s="11"/>
      <c r="F992" s="12"/>
      <c r="G992" s="11"/>
    </row>
    <row r="993" spans="1:7" ht="13.2" hidden="1">
      <c r="A993" s="11"/>
      <c r="B993" s="11"/>
      <c r="C993" s="11"/>
      <c r="D993" s="11"/>
      <c r="E993" s="11"/>
      <c r="F993" s="12"/>
      <c r="G993" s="11"/>
    </row>
    <row r="994" spans="1:7" ht="13.2" hidden="1">
      <c r="A994" s="11"/>
      <c r="B994" s="11"/>
      <c r="C994" s="11"/>
      <c r="D994" s="11"/>
      <c r="E994" s="11"/>
      <c r="F994" s="12"/>
      <c r="G994" s="11"/>
    </row>
    <row r="995" spans="1:7" ht="13.2" hidden="1">
      <c r="A995" s="11"/>
      <c r="B995" s="11"/>
      <c r="C995" s="11"/>
      <c r="D995" s="11"/>
      <c r="E995" s="11"/>
      <c r="F995" s="12"/>
      <c r="G995" s="11"/>
    </row>
    <row r="996" spans="1:7" ht="13.2" hidden="1">
      <c r="A996" s="11"/>
      <c r="B996" s="11"/>
      <c r="C996" s="11"/>
      <c r="D996" s="11"/>
      <c r="E996" s="11"/>
      <c r="F996" s="12"/>
      <c r="G996" s="11"/>
    </row>
    <row r="997" spans="1:7" ht="13.2" hidden="1">
      <c r="A997" s="11"/>
      <c r="B997" s="11"/>
      <c r="C997" s="11"/>
      <c r="D997" s="11"/>
      <c r="E997" s="11"/>
      <c r="F997" s="12"/>
      <c r="G997" s="11"/>
    </row>
    <row r="998" spans="1:7" ht="13.2" hidden="1">
      <c r="A998" s="11"/>
      <c r="B998" s="11"/>
      <c r="C998" s="11"/>
      <c r="D998" s="11"/>
      <c r="E998" s="11"/>
      <c r="F998" s="12"/>
      <c r="G998" s="11"/>
    </row>
    <row r="999" spans="1:7" ht="13.2" hidden="1">
      <c r="A999" s="11"/>
      <c r="B999" s="11"/>
      <c r="C999" s="11"/>
      <c r="D999" s="11"/>
      <c r="E999" s="11"/>
      <c r="F999" s="12"/>
      <c r="G999" s="11"/>
    </row>
    <row r="1000" spans="1:7" ht="13.2" hidden="1">
      <c r="A1000" s="11"/>
      <c r="B1000" s="11"/>
      <c r="C1000" s="11"/>
      <c r="D1000" s="11"/>
      <c r="E1000" s="11"/>
      <c r="F1000" s="12"/>
      <c r="G1000" s="11"/>
    </row>
  </sheetData>
  <autoFilter ref="A1:G1000" xr:uid="{00000000-0009-0000-0000-000000000000}">
    <filterColumn colId="0">
      <filters>
        <filter val="Apr 1, 2025"/>
        <filter val="Apr 10, 2025"/>
        <filter val="Apr 11, 2025"/>
        <filter val="Apr 14, 2025"/>
        <filter val="Apr 15, 2025"/>
        <filter val="Apr 16, 2025"/>
        <filter val="Apr 17, 2025"/>
        <filter val="Apr 2, 2025"/>
        <filter val="Apr 21, 2025"/>
        <filter val="Apr 22, 2025"/>
        <filter val="Apr 23, 2025"/>
        <filter val="Apr 24, 2025"/>
        <filter val="Apr 25, 2025"/>
        <filter val="Apr 28, 2025"/>
        <filter val="Apr 29, 2025"/>
        <filter val="Apr 3, 2025"/>
        <filter val="Apr 30, 2025"/>
        <filter val="Apr 4, 2025"/>
        <filter val="Apr 7, 2025"/>
        <filter val="Apr 8, 2025"/>
        <filter val="Apr 9, 2025"/>
        <filter val="Aug 1, 2025"/>
        <filter val="Aug 11, 2025"/>
        <filter val="Aug 12, 2025"/>
        <filter val="Aug 13, 2025"/>
        <filter val="Aug 14, 2025"/>
        <filter val="Aug 15, 2025"/>
        <filter val="Aug 18, 2025"/>
        <filter val="Aug 19, 2025"/>
        <filter val="Aug 20, 2025"/>
        <filter val="Aug 21, 2025"/>
        <filter val="Aug 22, 2025"/>
        <filter val="Aug 25, 2025"/>
        <filter val="Aug 26, 2025"/>
        <filter val="Aug 27, 2025"/>
        <filter val="Aug 28, 2025"/>
        <filter val="Aug 29, 2025"/>
        <filter val="Aug 4, 2025"/>
        <filter val="Aug 5, 2025"/>
        <filter val="Aug 6, 2025"/>
        <filter val="Aug 7, 2025"/>
        <filter val="Aug 8, 2025"/>
        <filter val="Dec 1, 2025"/>
        <filter val="Dec 10, 2025"/>
        <filter val="Dec 11, 2025"/>
        <filter val="Dec 12, 2025"/>
        <filter val="Dec 15, 2025"/>
        <filter val="Dec 16, 2025"/>
        <filter val="Dec 17, 2025"/>
        <filter val="Dec 18, 2025"/>
        <filter val="Dec 19, 2025"/>
        <filter val="Dec 2, 2025"/>
        <filter val="Dec 22, 2025"/>
        <filter val="Dec 23, 2025"/>
        <filter val="Dec 24, 2025"/>
        <filter val="Dec 26, 2025"/>
        <filter val="Dec 29, 2025"/>
        <filter val="Dec 3, 2025"/>
        <filter val="Dec 30, 2025"/>
        <filter val="Dec 31, 2025"/>
        <filter val="Dec 4, 2025"/>
        <filter val="Dec 5, 2025"/>
        <filter val="Dec 8, 2025"/>
        <filter val="Dec 9, 2025"/>
        <filter val="Feb 10, 2026"/>
        <filter val="Feb 11, 2026"/>
        <filter val="Feb 12, 2026"/>
        <filter val="Feb 13, 2026"/>
        <filter val="Feb 17, 2026"/>
        <filter val="Feb 18, 2026"/>
        <filter val="Feb 19, 2026"/>
        <filter val="Feb 2, 2026"/>
        <filter val="Feb 20, 2026"/>
        <filter val="Feb 23, 2026"/>
        <filter val="Feb 24, 2026"/>
        <filter val="Feb 25, 2026"/>
        <filter val="Feb 26, 2026"/>
        <filter val="Feb 27, 2026"/>
        <filter val="Feb 3, 2026"/>
        <filter val="Feb 4, 2026"/>
        <filter val="Feb 5, 2026"/>
        <filter val="Feb 6, 2026"/>
        <filter val="Feb 9, 2026"/>
        <filter val="Jan 12, 2026"/>
        <filter val="Jan 13, 2026"/>
        <filter val="Jan 14, 2026"/>
        <filter val="Jan 15, 2026"/>
        <filter val="Jan 16, 2026"/>
        <filter val="Jan 2, 2026"/>
        <filter val="Jan 20, 2026"/>
        <filter val="Jan 21, 2026"/>
        <filter val="Jan 22, 2026"/>
        <filter val="Jan 23, 2026"/>
        <filter val="Jan 26, 2026"/>
        <filter val="Jan 27, 2026"/>
        <filter val="Jan 28, 2026"/>
        <filter val="Jan 29, 2026"/>
        <filter val="Jan 30, 2026"/>
        <filter val="Jan 5, 2026"/>
        <filter val="Jan 6, 2026"/>
        <filter val="Jan 7, 2026"/>
        <filter val="Jan 8, 2026"/>
        <filter val="Jan 9, 2026"/>
        <filter val="Jul 1, 2025"/>
        <filter val="Jul 10, 2025"/>
        <filter val="Jul 11, 2025"/>
        <filter val="Jul 14, 2025"/>
        <filter val="Jul 15, 2025"/>
        <filter val="Jul 16, 2025"/>
        <filter val="Jul 17, 2025"/>
        <filter val="Jul 18, 2025"/>
        <filter val="Jul 2, 2025"/>
        <filter val="Jul 21, 2025"/>
        <filter val="Jul 22, 2025"/>
        <filter val="Jul 23, 2025"/>
        <filter val="Jul 24, 2025"/>
        <filter val="Jul 25, 2025"/>
        <filter val="Jul 28, 2025"/>
        <filter val="Jul 29, 2025"/>
        <filter val="Jul 3, 2025"/>
        <filter val="Jul 30, 2025"/>
        <filter val="Jul 31, 2025"/>
        <filter val="Jul 7, 2025"/>
        <filter val="Jul 8, 2025"/>
        <filter val="Jul 9, 2025"/>
        <filter val="Jun 10, 2025"/>
        <filter val="Jun 11, 2025"/>
        <filter val="Jun 12, 2025"/>
        <filter val="Jun 13, 2025"/>
        <filter val="Jun 16, 2025"/>
        <filter val="Jun 17, 2025"/>
        <filter val="Jun 18, 2025"/>
        <filter val="Jun 2, 2025"/>
        <filter val="Jun 20, 2025"/>
        <filter val="Jun 23, 2025"/>
        <filter val="Jun 24, 2025"/>
        <filter val="Jun 25, 2025"/>
        <filter val="Jun 26, 2025"/>
        <filter val="Jun 27, 2025"/>
        <filter val="Jun 3, 2025"/>
        <filter val="Jun 30, 2025"/>
        <filter val="Jun 4, 2025"/>
        <filter val="Jun 5, 2025"/>
        <filter val="Jun 6, 2025"/>
        <filter val="Jun 9, 2025"/>
        <filter val="Mar 10, 2025"/>
        <filter val="Mar 10, 2026"/>
        <filter val="Mar 11, 2025"/>
        <filter val="Mar 12, 2025"/>
        <filter val="Mar 13, 2025"/>
        <filter val="Mar 14, 2025"/>
        <filter val="Mar 17, 2025"/>
        <filter val="Mar 18, 2025"/>
        <filter val="Mar 19, 2025"/>
        <filter val="Mar 2, 2026"/>
        <filter val="Mar 20, 2025"/>
        <filter val="Mar 21, 2025"/>
        <filter val="Mar 24, 2025"/>
        <filter val="Mar 25, 2025"/>
        <filter val="Mar 26, 2025"/>
        <filter val="Mar 27, 2025"/>
        <filter val="Mar 28, 2025"/>
        <filter val="Mar 3, 2026"/>
        <filter val="Mar 31, 2025"/>
        <filter val="Mar 4, 2026"/>
        <filter val="Mar 5, 2026"/>
        <filter val="Mar 6, 2026"/>
        <filter val="Mar 9, 2026"/>
        <filter val="May 1, 2025"/>
        <filter val="May 12, 2025"/>
        <filter val="May 13, 2025"/>
        <filter val="May 14, 2025"/>
        <filter val="May 15, 2025"/>
        <filter val="May 16, 2025"/>
        <filter val="May 19, 2025"/>
        <filter val="May 2, 2025"/>
        <filter val="May 20, 2025"/>
        <filter val="May 21, 2025"/>
        <filter val="May 22, 2025"/>
        <filter val="May 23, 2025"/>
        <filter val="May 27, 2025"/>
        <filter val="May 28, 2025"/>
        <filter val="May 29, 2025"/>
        <filter val="May 30, 2025"/>
        <filter val="May 5, 2025"/>
        <filter val="May 6, 2025"/>
        <filter val="May 7, 2025"/>
        <filter val="May 8, 2025"/>
        <filter val="May 9, 2025"/>
        <filter val="Nov 10, 2025"/>
        <filter val="Nov 11, 2025"/>
        <filter val="Nov 12, 2025"/>
        <filter val="Nov 13, 2025"/>
        <filter val="Nov 14, 2025"/>
        <filter val="Nov 17, 2025"/>
        <filter val="Nov 18, 2025"/>
        <filter val="Nov 19, 2025"/>
        <filter val="Nov 20, 2025"/>
        <filter val="Nov 21, 2025"/>
        <filter val="Nov 24, 2025"/>
        <filter val="Nov 25, 2025"/>
        <filter val="Nov 26, 2025"/>
        <filter val="Nov 28, 2025"/>
        <filter val="Nov 3, 2025"/>
        <filter val="Nov 4, 2025"/>
        <filter val="Nov 5, 2025"/>
        <filter val="Nov 6, 2025"/>
        <filter val="Nov 7, 2025"/>
        <filter val="Oct 1, 2025"/>
        <filter val="Oct 10, 2025"/>
        <filter val="Oct 13, 2025"/>
        <filter val="Oct 14, 2025"/>
        <filter val="Oct 15, 2025"/>
        <filter val="Oct 16, 2025"/>
        <filter val="Oct 17, 2025"/>
        <filter val="Oct 2, 2025"/>
        <filter val="Oct 20, 2025"/>
        <filter val="Oct 21, 2025"/>
        <filter val="Oct 22, 2025"/>
        <filter val="Oct 23, 2025"/>
        <filter val="Oct 24, 2025"/>
        <filter val="Oct 27, 2025"/>
        <filter val="Oct 28, 2025"/>
        <filter val="Oct 29, 2025"/>
        <filter val="Oct 3, 2025"/>
        <filter val="Oct 30, 2025"/>
        <filter val="Oct 31, 2025"/>
        <filter val="Oct 6, 2025"/>
        <filter val="Oct 7, 2025"/>
        <filter val="Oct 8, 2025"/>
        <filter val="Oct 9, 2025"/>
        <filter val="Sep 10, 2025"/>
        <filter val="Sep 11, 2025"/>
        <filter val="Sep 12, 2025"/>
        <filter val="Sep 15, 2025"/>
        <filter val="Sep 16, 2025"/>
        <filter val="Sep 17, 2025"/>
        <filter val="Sep 18, 2025"/>
        <filter val="Sep 19, 2025"/>
        <filter val="Sep 2, 2025"/>
        <filter val="Sep 22, 2025"/>
        <filter val="Sep 23, 2025"/>
        <filter val="Sep 24, 2025"/>
        <filter val="Sep 25, 2025"/>
        <filter val="Sep 26, 2025"/>
        <filter val="Sep 29, 2025"/>
        <filter val="Sep 3, 2025"/>
        <filter val="Sep 30, 2025"/>
        <filter val="Sep 4, 2025"/>
        <filter val="Sep 5, 2025"/>
        <filter val="Sep 8, 2025"/>
        <filter val="Sep 9, 2025"/>
      </filters>
    </filterColumn>
  </autoFilter>
  <hyperlinks>
    <hyperlink ref="I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9"/>
  <sheetViews>
    <sheetView workbookViewId="0"/>
  </sheetViews>
  <sheetFormatPr defaultColWidth="12.6640625" defaultRowHeight="15.75" customHeight="1"/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9" ht="15.75" customHeight="1">
      <c r="A2" s="9" t="s">
        <v>7</v>
      </c>
      <c r="B2" s="6" t="s">
        <v>849</v>
      </c>
      <c r="C2" s="6" t="s">
        <v>850</v>
      </c>
      <c r="D2" s="6" t="s">
        <v>851</v>
      </c>
      <c r="E2" s="6" t="s">
        <v>852</v>
      </c>
      <c r="F2" s="7" t="s">
        <v>852</v>
      </c>
      <c r="G2" s="6" t="s">
        <v>853</v>
      </c>
      <c r="I2" s="8" t="s">
        <v>854</v>
      </c>
    </row>
    <row r="3" spans="1:9">
      <c r="A3" s="9" t="s">
        <v>12</v>
      </c>
      <c r="B3" s="6" t="s">
        <v>855</v>
      </c>
      <c r="C3" s="6" t="s">
        <v>856</v>
      </c>
      <c r="D3" s="6" t="s">
        <v>857</v>
      </c>
      <c r="E3" s="6" t="s">
        <v>858</v>
      </c>
      <c r="F3" s="7" t="s">
        <v>858</v>
      </c>
      <c r="G3" s="6" t="s">
        <v>859</v>
      </c>
    </row>
    <row r="4" spans="1:9">
      <c r="A4" s="9" t="s">
        <v>16</v>
      </c>
      <c r="B4" s="6" t="s">
        <v>860</v>
      </c>
      <c r="C4" s="6" t="s">
        <v>861</v>
      </c>
      <c r="D4" s="6" t="s">
        <v>862</v>
      </c>
      <c r="E4" s="6" t="s">
        <v>863</v>
      </c>
      <c r="F4" s="7" t="s">
        <v>863</v>
      </c>
      <c r="G4" s="6" t="s">
        <v>864</v>
      </c>
    </row>
    <row r="5" spans="1:9">
      <c r="A5" s="9" t="s">
        <v>20</v>
      </c>
      <c r="B5" s="6" t="s">
        <v>865</v>
      </c>
      <c r="C5" s="6" t="s">
        <v>866</v>
      </c>
      <c r="D5" s="6" t="s">
        <v>867</v>
      </c>
      <c r="E5" s="6" t="s">
        <v>868</v>
      </c>
      <c r="F5" s="7" t="s">
        <v>868</v>
      </c>
      <c r="G5" s="6" t="s">
        <v>869</v>
      </c>
    </row>
    <row r="6" spans="1:9">
      <c r="A6" s="9" t="s">
        <v>25</v>
      </c>
      <c r="B6" s="6" t="s">
        <v>870</v>
      </c>
      <c r="C6" s="6" t="s">
        <v>871</v>
      </c>
      <c r="D6" s="6" t="s">
        <v>872</v>
      </c>
      <c r="E6" s="6" t="s">
        <v>873</v>
      </c>
      <c r="F6" s="7" t="s">
        <v>873</v>
      </c>
      <c r="G6" s="6" t="s">
        <v>874</v>
      </c>
    </row>
    <row r="7" spans="1:9">
      <c r="A7" s="9" t="s">
        <v>30</v>
      </c>
      <c r="B7" s="6" t="s">
        <v>875</v>
      </c>
      <c r="C7" s="6" t="s">
        <v>876</v>
      </c>
      <c r="D7" s="6" t="s">
        <v>877</v>
      </c>
      <c r="E7" s="6" t="s">
        <v>878</v>
      </c>
      <c r="F7" s="7" t="s">
        <v>878</v>
      </c>
      <c r="G7" s="6" t="s">
        <v>879</v>
      </c>
    </row>
    <row r="8" spans="1:9">
      <c r="A8" s="9" t="s">
        <v>35</v>
      </c>
      <c r="B8" s="6" t="s">
        <v>880</v>
      </c>
      <c r="C8" s="6" t="s">
        <v>881</v>
      </c>
      <c r="D8" s="6" t="s">
        <v>882</v>
      </c>
      <c r="E8" s="6" t="s">
        <v>883</v>
      </c>
      <c r="F8" s="7" t="s">
        <v>883</v>
      </c>
      <c r="G8" s="6" t="s">
        <v>884</v>
      </c>
    </row>
    <row r="9" spans="1:9">
      <c r="A9" s="9" t="s">
        <v>37</v>
      </c>
      <c r="B9" s="6" t="s">
        <v>885</v>
      </c>
      <c r="C9" s="6" t="s">
        <v>886</v>
      </c>
      <c r="D9" s="6" t="s">
        <v>887</v>
      </c>
      <c r="E9" s="6" t="s">
        <v>888</v>
      </c>
      <c r="F9" s="7" t="s">
        <v>888</v>
      </c>
      <c r="G9" s="6" t="s">
        <v>889</v>
      </c>
    </row>
    <row r="10" spans="1:9">
      <c r="A10" s="9" t="s">
        <v>41</v>
      </c>
      <c r="B10" s="6" t="s">
        <v>890</v>
      </c>
      <c r="C10" s="6" t="s">
        <v>891</v>
      </c>
      <c r="D10" s="6" t="s">
        <v>892</v>
      </c>
      <c r="E10" s="6" t="s">
        <v>893</v>
      </c>
      <c r="F10" s="7" t="s">
        <v>893</v>
      </c>
      <c r="G10" s="6" t="s">
        <v>894</v>
      </c>
    </row>
    <row r="11" spans="1:9">
      <c r="A11" s="9" t="s">
        <v>46</v>
      </c>
      <c r="B11" s="6" t="s">
        <v>895</v>
      </c>
      <c r="C11" s="6" t="s">
        <v>896</v>
      </c>
      <c r="D11" s="6" t="s">
        <v>897</v>
      </c>
      <c r="E11" s="6" t="s">
        <v>898</v>
      </c>
      <c r="F11" s="7" t="s">
        <v>898</v>
      </c>
      <c r="G11" s="6" t="s">
        <v>899</v>
      </c>
    </row>
    <row r="12" spans="1:9">
      <c r="A12" s="9" t="s">
        <v>50</v>
      </c>
      <c r="B12" s="6" t="s">
        <v>900</v>
      </c>
      <c r="C12" s="6" t="s">
        <v>901</v>
      </c>
      <c r="D12" s="6" t="s">
        <v>902</v>
      </c>
      <c r="E12" s="6" t="s">
        <v>903</v>
      </c>
      <c r="F12" s="7" t="s">
        <v>903</v>
      </c>
      <c r="G12" s="6" t="s">
        <v>904</v>
      </c>
    </row>
    <row r="13" spans="1:9">
      <c r="A13" s="9" t="s">
        <v>54</v>
      </c>
      <c r="B13" s="6" t="s">
        <v>905</v>
      </c>
      <c r="C13" s="6" t="s">
        <v>906</v>
      </c>
      <c r="D13" s="6" t="s">
        <v>907</v>
      </c>
      <c r="E13" s="6" t="s">
        <v>908</v>
      </c>
      <c r="F13" s="7" t="s">
        <v>908</v>
      </c>
      <c r="G13" s="6" t="s">
        <v>909</v>
      </c>
    </row>
    <row r="14" spans="1:9">
      <c r="A14" s="9" t="s">
        <v>59</v>
      </c>
      <c r="B14" s="6" t="s">
        <v>910</v>
      </c>
      <c r="C14" s="6" t="s">
        <v>911</v>
      </c>
      <c r="D14" s="6" t="s">
        <v>912</v>
      </c>
      <c r="E14" s="6" t="s">
        <v>913</v>
      </c>
      <c r="F14" s="7" t="s">
        <v>913</v>
      </c>
      <c r="G14" s="6" t="s">
        <v>914</v>
      </c>
    </row>
    <row r="15" spans="1:9">
      <c r="A15" s="9" t="s">
        <v>63</v>
      </c>
      <c r="B15" s="6" t="s">
        <v>915</v>
      </c>
      <c r="C15" s="6" t="s">
        <v>905</v>
      </c>
      <c r="D15" s="6" t="s">
        <v>916</v>
      </c>
      <c r="E15" s="6" t="s">
        <v>917</v>
      </c>
      <c r="F15" s="7" t="s">
        <v>917</v>
      </c>
      <c r="G15" s="6" t="s">
        <v>918</v>
      </c>
    </row>
    <row r="16" spans="1:9">
      <c r="A16" s="9" t="s">
        <v>68</v>
      </c>
      <c r="B16" s="6" t="s">
        <v>919</v>
      </c>
      <c r="C16" s="6" t="s">
        <v>920</v>
      </c>
      <c r="D16" s="6" t="s">
        <v>921</v>
      </c>
      <c r="E16" s="6" t="s">
        <v>922</v>
      </c>
      <c r="F16" s="7" t="s">
        <v>922</v>
      </c>
      <c r="G16" s="6" t="s">
        <v>923</v>
      </c>
    </row>
    <row r="17" spans="1:7">
      <c r="A17" s="9" t="s">
        <v>73</v>
      </c>
      <c r="B17" s="6" t="s">
        <v>924</v>
      </c>
      <c r="C17" s="6" t="s">
        <v>925</v>
      </c>
      <c r="D17" s="6" t="s">
        <v>926</v>
      </c>
      <c r="E17" s="6" t="s">
        <v>927</v>
      </c>
      <c r="F17" s="7" t="s">
        <v>927</v>
      </c>
      <c r="G17" s="6" t="s">
        <v>928</v>
      </c>
    </row>
    <row r="18" spans="1:7">
      <c r="A18" s="9" t="s">
        <v>78</v>
      </c>
      <c r="B18" s="6" t="s">
        <v>929</v>
      </c>
      <c r="C18" s="6" t="s">
        <v>930</v>
      </c>
      <c r="D18" s="6" t="s">
        <v>929</v>
      </c>
      <c r="E18" s="6" t="s">
        <v>931</v>
      </c>
      <c r="F18" s="7" t="s">
        <v>931</v>
      </c>
      <c r="G18" s="6" t="s">
        <v>932</v>
      </c>
    </row>
    <row r="19" spans="1:7">
      <c r="A19" s="9" t="s">
        <v>81</v>
      </c>
      <c r="B19" s="6" t="s">
        <v>933</v>
      </c>
      <c r="C19" s="6" t="s">
        <v>934</v>
      </c>
      <c r="D19" s="6" t="s">
        <v>935</v>
      </c>
      <c r="E19" s="6" t="s">
        <v>936</v>
      </c>
      <c r="F19" s="7" t="s">
        <v>936</v>
      </c>
      <c r="G19" s="6" t="s">
        <v>937</v>
      </c>
    </row>
    <row r="20" spans="1:7">
      <c r="A20" s="9" t="s">
        <v>86</v>
      </c>
      <c r="B20" s="6" t="s">
        <v>938</v>
      </c>
      <c r="C20" s="6" t="s">
        <v>939</v>
      </c>
      <c r="D20" s="6" t="s">
        <v>940</v>
      </c>
      <c r="E20" s="6" t="s">
        <v>941</v>
      </c>
      <c r="F20" s="7" t="s">
        <v>941</v>
      </c>
      <c r="G20" s="6" t="s">
        <v>942</v>
      </c>
    </row>
    <row r="21" spans="1:7">
      <c r="A21" s="9" t="s">
        <v>90</v>
      </c>
      <c r="B21" s="6" t="s">
        <v>943</v>
      </c>
      <c r="C21" s="6" t="s">
        <v>944</v>
      </c>
      <c r="D21" s="6" t="s">
        <v>945</v>
      </c>
      <c r="E21" s="6" t="s">
        <v>946</v>
      </c>
      <c r="F21" s="7" t="s">
        <v>946</v>
      </c>
      <c r="G21" s="6" t="s">
        <v>947</v>
      </c>
    </row>
    <row r="22" spans="1:7">
      <c r="A22" s="9" t="s">
        <v>94</v>
      </c>
      <c r="B22" s="6" t="s">
        <v>948</v>
      </c>
      <c r="C22" s="6" t="s">
        <v>949</v>
      </c>
      <c r="D22" s="6" t="s">
        <v>950</v>
      </c>
      <c r="E22" s="6" t="s">
        <v>951</v>
      </c>
      <c r="F22" s="7" t="s">
        <v>951</v>
      </c>
      <c r="G22" s="6" t="s">
        <v>952</v>
      </c>
    </row>
    <row r="23" spans="1:7">
      <c r="A23" s="9" t="s">
        <v>98</v>
      </c>
      <c r="B23" s="6" t="s">
        <v>953</v>
      </c>
      <c r="C23" s="6" t="s">
        <v>954</v>
      </c>
      <c r="D23" s="6" t="s">
        <v>955</v>
      </c>
      <c r="E23" s="6" t="s">
        <v>956</v>
      </c>
      <c r="F23" s="7" t="s">
        <v>956</v>
      </c>
      <c r="G23" s="6" t="s">
        <v>957</v>
      </c>
    </row>
    <row r="24" spans="1:7">
      <c r="A24" s="9" t="s">
        <v>102</v>
      </c>
      <c r="B24" s="6" t="s">
        <v>958</v>
      </c>
      <c r="C24" s="6" t="s">
        <v>959</v>
      </c>
      <c r="D24" s="6" t="s">
        <v>960</v>
      </c>
      <c r="E24" s="6" t="s">
        <v>961</v>
      </c>
      <c r="F24" s="7" t="s">
        <v>961</v>
      </c>
      <c r="G24" s="6" t="s">
        <v>962</v>
      </c>
    </row>
    <row r="25" spans="1:7">
      <c r="A25" s="9" t="s">
        <v>106</v>
      </c>
      <c r="B25" s="6" t="s">
        <v>963</v>
      </c>
      <c r="C25" s="6" t="s">
        <v>964</v>
      </c>
      <c r="D25" s="6" t="s">
        <v>965</v>
      </c>
      <c r="E25" s="6" t="s">
        <v>966</v>
      </c>
      <c r="F25" s="7" t="s">
        <v>966</v>
      </c>
      <c r="G25" s="6" t="s">
        <v>967</v>
      </c>
    </row>
    <row r="26" spans="1:7">
      <c r="A26" s="9" t="s">
        <v>111</v>
      </c>
      <c r="B26" s="6" t="s">
        <v>968</v>
      </c>
      <c r="C26" s="6" t="s">
        <v>969</v>
      </c>
      <c r="D26" s="6" t="s">
        <v>970</v>
      </c>
      <c r="E26" s="6" t="s">
        <v>971</v>
      </c>
      <c r="F26" s="7" t="s">
        <v>971</v>
      </c>
      <c r="G26" s="6" t="s">
        <v>972</v>
      </c>
    </row>
    <row r="27" spans="1:7" ht="13.8">
      <c r="A27" s="9" t="s">
        <v>115</v>
      </c>
      <c r="B27" s="6" t="s">
        <v>973</v>
      </c>
      <c r="C27" s="6" t="s">
        <v>974</v>
      </c>
      <c r="D27" s="6" t="s">
        <v>975</v>
      </c>
      <c r="E27" s="6" t="s">
        <v>976</v>
      </c>
      <c r="F27" s="7" t="s">
        <v>976</v>
      </c>
      <c r="G27" s="6" t="s">
        <v>977</v>
      </c>
    </row>
    <row r="28" spans="1:7" ht="13.8">
      <c r="A28" s="9" t="s">
        <v>119</v>
      </c>
      <c r="B28" s="6" t="s">
        <v>978</v>
      </c>
      <c r="C28" s="6" t="s">
        <v>979</v>
      </c>
      <c r="D28" s="6" t="s">
        <v>980</v>
      </c>
      <c r="E28" s="6" t="s">
        <v>974</v>
      </c>
      <c r="F28" s="7" t="s">
        <v>974</v>
      </c>
      <c r="G28" s="6" t="s">
        <v>981</v>
      </c>
    </row>
    <row r="29" spans="1:7" ht="13.8">
      <c r="A29" s="9" t="s">
        <v>123</v>
      </c>
      <c r="B29" s="6" t="s">
        <v>982</v>
      </c>
      <c r="C29" s="6" t="s">
        <v>983</v>
      </c>
      <c r="D29" s="6" t="s">
        <v>984</v>
      </c>
      <c r="E29" s="6" t="s">
        <v>985</v>
      </c>
      <c r="F29" s="7" t="s">
        <v>985</v>
      </c>
      <c r="G29" s="6" t="s">
        <v>986</v>
      </c>
    </row>
    <row r="30" spans="1:7" ht="13.8">
      <c r="A30" s="9" t="s">
        <v>126</v>
      </c>
      <c r="B30" s="6" t="s">
        <v>987</v>
      </c>
      <c r="C30" s="6" t="s">
        <v>988</v>
      </c>
      <c r="D30" s="6" t="s">
        <v>989</v>
      </c>
      <c r="E30" s="6" t="s">
        <v>990</v>
      </c>
      <c r="F30" s="7" t="s">
        <v>990</v>
      </c>
      <c r="G30" s="6" t="s">
        <v>991</v>
      </c>
    </row>
    <row r="31" spans="1:7" ht="13.8">
      <c r="A31" s="9" t="s">
        <v>131</v>
      </c>
      <c r="B31" s="6" t="s">
        <v>992</v>
      </c>
      <c r="C31" s="6" t="s">
        <v>993</v>
      </c>
      <c r="D31" s="6" t="s">
        <v>994</v>
      </c>
      <c r="E31" s="6" t="s">
        <v>995</v>
      </c>
      <c r="F31" s="7" t="s">
        <v>995</v>
      </c>
      <c r="G31" s="6" t="s">
        <v>996</v>
      </c>
    </row>
    <row r="32" spans="1:7" ht="13.8">
      <c r="A32" s="9" t="s">
        <v>135</v>
      </c>
      <c r="B32" s="6" t="s">
        <v>997</v>
      </c>
      <c r="C32" s="6" t="s">
        <v>998</v>
      </c>
      <c r="D32" s="6" t="s">
        <v>999</v>
      </c>
      <c r="E32" s="6" t="s">
        <v>1000</v>
      </c>
      <c r="F32" s="7" t="s">
        <v>1000</v>
      </c>
      <c r="G32" s="6" t="s">
        <v>1001</v>
      </c>
    </row>
    <row r="33" spans="1:7" ht="13.8">
      <c r="A33" s="9" t="s">
        <v>139</v>
      </c>
      <c r="B33" s="6" t="s">
        <v>1002</v>
      </c>
      <c r="C33" s="6" t="s">
        <v>1003</v>
      </c>
      <c r="D33" s="6" t="s">
        <v>1004</v>
      </c>
      <c r="E33" s="6" t="s">
        <v>1005</v>
      </c>
      <c r="F33" s="7" t="s">
        <v>1005</v>
      </c>
      <c r="G33" s="6" t="s">
        <v>1006</v>
      </c>
    </row>
    <row r="34" spans="1:7" ht="13.8">
      <c r="A34" s="9" t="s">
        <v>144</v>
      </c>
      <c r="B34" s="6" t="s">
        <v>1007</v>
      </c>
      <c r="C34" s="6" t="s">
        <v>1008</v>
      </c>
      <c r="D34" s="6" t="s">
        <v>1009</v>
      </c>
      <c r="E34" s="6" t="s">
        <v>1010</v>
      </c>
      <c r="F34" s="7" t="s">
        <v>1010</v>
      </c>
      <c r="G34" s="6" t="s">
        <v>1011</v>
      </c>
    </row>
    <row r="35" spans="1:7" ht="13.8">
      <c r="A35" s="9" t="s">
        <v>149</v>
      </c>
      <c r="B35" s="6" t="s">
        <v>1012</v>
      </c>
      <c r="C35" s="6" t="s">
        <v>1013</v>
      </c>
      <c r="D35" s="6" t="s">
        <v>1014</v>
      </c>
      <c r="E35" s="6" t="s">
        <v>1015</v>
      </c>
      <c r="F35" s="7" t="s">
        <v>1015</v>
      </c>
      <c r="G35" s="6" t="s">
        <v>1016</v>
      </c>
    </row>
    <row r="36" spans="1:7" ht="13.8">
      <c r="A36" s="9" t="s">
        <v>154</v>
      </c>
      <c r="B36" s="6" t="s">
        <v>1017</v>
      </c>
      <c r="C36" s="6" t="s">
        <v>1018</v>
      </c>
      <c r="D36" s="6" t="s">
        <v>1019</v>
      </c>
      <c r="E36" s="6" t="s">
        <v>1020</v>
      </c>
      <c r="F36" s="7" t="s">
        <v>1020</v>
      </c>
      <c r="G36" s="6" t="s">
        <v>1021</v>
      </c>
    </row>
    <row r="37" spans="1:7" ht="13.8">
      <c r="A37" s="9" t="s">
        <v>159</v>
      </c>
      <c r="B37" s="6" t="s">
        <v>1022</v>
      </c>
      <c r="C37" s="6" t="s">
        <v>1023</v>
      </c>
      <c r="D37" s="6" t="s">
        <v>1024</v>
      </c>
      <c r="E37" s="6" t="s">
        <v>1025</v>
      </c>
      <c r="F37" s="7" t="s">
        <v>1025</v>
      </c>
      <c r="G37" s="6" t="s">
        <v>1026</v>
      </c>
    </row>
    <row r="38" spans="1:7" ht="13.8">
      <c r="A38" s="9" t="s">
        <v>164</v>
      </c>
      <c r="B38" s="6" t="s">
        <v>1027</v>
      </c>
      <c r="C38" s="6" t="s">
        <v>1028</v>
      </c>
      <c r="D38" s="6" t="s">
        <v>975</v>
      </c>
      <c r="E38" s="6" t="s">
        <v>1029</v>
      </c>
      <c r="F38" s="7" t="s">
        <v>1029</v>
      </c>
      <c r="G38" s="6" t="s">
        <v>1030</v>
      </c>
    </row>
    <row r="39" spans="1:7" ht="13.8">
      <c r="A39" s="9" t="s">
        <v>168</v>
      </c>
      <c r="B39" s="6" t="s">
        <v>1031</v>
      </c>
      <c r="C39" s="6" t="s">
        <v>1032</v>
      </c>
      <c r="D39" s="6" t="s">
        <v>1023</v>
      </c>
      <c r="E39" s="6" t="s">
        <v>1033</v>
      </c>
      <c r="F39" s="7" t="s">
        <v>1033</v>
      </c>
      <c r="G39" s="6" t="s">
        <v>1034</v>
      </c>
    </row>
    <row r="40" spans="1:7" ht="13.8">
      <c r="A40" s="9" t="s">
        <v>172</v>
      </c>
      <c r="B40" s="6" t="s">
        <v>1035</v>
      </c>
      <c r="C40" s="6" t="s">
        <v>1036</v>
      </c>
      <c r="D40" s="6" t="s">
        <v>1037</v>
      </c>
      <c r="E40" s="6" t="s">
        <v>1038</v>
      </c>
      <c r="F40" s="7" t="s">
        <v>1038</v>
      </c>
      <c r="G40" s="6" t="s">
        <v>1039</v>
      </c>
    </row>
    <row r="41" spans="1:7" ht="13.8">
      <c r="A41" s="9" t="s">
        <v>177</v>
      </c>
      <c r="B41" s="6" t="s">
        <v>1040</v>
      </c>
      <c r="C41" s="6" t="s">
        <v>1041</v>
      </c>
      <c r="D41" s="6" t="s">
        <v>1040</v>
      </c>
      <c r="E41" s="6" t="s">
        <v>1042</v>
      </c>
      <c r="F41" s="7" t="s">
        <v>1042</v>
      </c>
      <c r="G41" s="6" t="s">
        <v>1043</v>
      </c>
    </row>
    <row r="42" spans="1:7" ht="13.8">
      <c r="A42" s="9" t="s">
        <v>181</v>
      </c>
      <c r="B42" s="6" t="s">
        <v>1044</v>
      </c>
      <c r="C42" s="6" t="s">
        <v>1045</v>
      </c>
      <c r="D42" s="6" t="s">
        <v>1046</v>
      </c>
      <c r="E42" s="6" t="s">
        <v>897</v>
      </c>
      <c r="F42" s="7" t="s">
        <v>897</v>
      </c>
      <c r="G42" s="6" t="s">
        <v>1047</v>
      </c>
    </row>
    <row r="43" spans="1:7" ht="13.8">
      <c r="A43" s="9" t="s">
        <v>186</v>
      </c>
      <c r="B43" s="6" t="s">
        <v>1048</v>
      </c>
      <c r="C43" s="6" t="s">
        <v>1049</v>
      </c>
      <c r="D43" s="6" t="s">
        <v>1050</v>
      </c>
      <c r="E43" s="6" t="s">
        <v>1051</v>
      </c>
      <c r="F43" s="7" t="s">
        <v>1051</v>
      </c>
      <c r="G43" s="6" t="s">
        <v>1052</v>
      </c>
    </row>
    <row r="44" spans="1:7" ht="13.8">
      <c r="A44" s="9" t="s">
        <v>189</v>
      </c>
      <c r="B44" s="6" t="s">
        <v>1053</v>
      </c>
      <c r="C44" s="6" t="s">
        <v>1053</v>
      </c>
      <c r="D44" s="6" t="s">
        <v>1054</v>
      </c>
      <c r="E44" s="6" t="s">
        <v>1055</v>
      </c>
      <c r="F44" s="7" t="s">
        <v>1055</v>
      </c>
      <c r="G44" s="6" t="s">
        <v>1056</v>
      </c>
    </row>
    <row r="45" spans="1:7" ht="13.8">
      <c r="A45" s="9" t="s">
        <v>193</v>
      </c>
      <c r="B45" s="6" t="s">
        <v>1057</v>
      </c>
      <c r="C45" s="6" t="s">
        <v>1058</v>
      </c>
      <c r="D45" s="6" t="s">
        <v>1059</v>
      </c>
      <c r="E45" s="6" t="s">
        <v>902</v>
      </c>
      <c r="F45" s="7" t="s">
        <v>902</v>
      </c>
      <c r="G45" s="6" t="s">
        <v>1060</v>
      </c>
    </row>
    <row r="46" spans="1:7" ht="13.8">
      <c r="A46" s="9" t="s">
        <v>196</v>
      </c>
      <c r="B46" s="6" t="s">
        <v>922</v>
      </c>
      <c r="C46" s="6" t="s">
        <v>1061</v>
      </c>
      <c r="D46" s="6" t="s">
        <v>1062</v>
      </c>
      <c r="E46" s="6" t="s">
        <v>1063</v>
      </c>
      <c r="F46" s="7" t="s">
        <v>1063</v>
      </c>
      <c r="G46" s="6" t="s">
        <v>1064</v>
      </c>
    </row>
    <row r="47" spans="1:7" ht="13.8">
      <c r="A47" s="9" t="s">
        <v>199</v>
      </c>
      <c r="B47" s="6" t="s">
        <v>1065</v>
      </c>
      <c r="C47" s="6" t="s">
        <v>1066</v>
      </c>
      <c r="D47" s="6" t="s">
        <v>1067</v>
      </c>
      <c r="E47" s="6" t="s">
        <v>1068</v>
      </c>
      <c r="F47" s="7" t="s">
        <v>1068</v>
      </c>
      <c r="G47" s="6" t="s">
        <v>1069</v>
      </c>
    </row>
    <row r="48" spans="1:7" ht="13.8">
      <c r="A48" s="9" t="s">
        <v>203</v>
      </c>
      <c r="B48" s="6" t="s">
        <v>1070</v>
      </c>
      <c r="C48" s="6" t="s">
        <v>1071</v>
      </c>
      <c r="D48" s="6" t="s">
        <v>1072</v>
      </c>
      <c r="E48" s="6" t="s">
        <v>1073</v>
      </c>
      <c r="F48" s="7" t="s">
        <v>1073</v>
      </c>
      <c r="G48" s="6" t="s">
        <v>1074</v>
      </c>
    </row>
    <row r="49" spans="1:7" ht="13.8">
      <c r="A49" s="9" t="s">
        <v>208</v>
      </c>
      <c r="B49" s="6" t="s">
        <v>1075</v>
      </c>
      <c r="C49" s="6" t="s">
        <v>1076</v>
      </c>
      <c r="D49" s="6" t="s">
        <v>1077</v>
      </c>
      <c r="E49" s="6" t="s">
        <v>1078</v>
      </c>
      <c r="F49" s="7" t="s">
        <v>1078</v>
      </c>
      <c r="G49" s="6" t="s">
        <v>1079</v>
      </c>
    </row>
    <row r="50" spans="1:7" ht="13.8">
      <c r="A50" s="9" t="s">
        <v>211</v>
      </c>
      <c r="B50" s="6" t="s">
        <v>1080</v>
      </c>
      <c r="C50" s="6" t="s">
        <v>1081</v>
      </c>
      <c r="D50" s="6" t="s">
        <v>1082</v>
      </c>
      <c r="E50" s="6" t="s">
        <v>1083</v>
      </c>
      <c r="F50" s="7" t="s">
        <v>1083</v>
      </c>
      <c r="G50" s="6" t="s">
        <v>1084</v>
      </c>
    </row>
    <row r="51" spans="1:7" ht="13.8">
      <c r="A51" s="9" t="s">
        <v>215</v>
      </c>
      <c r="B51" s="6" t="s">
        <v>1085</v>
      </c>
      <c r="C51" s="6" t="s">
        <v>1086</v>
      </c>
      <c r="D51" s="6" t="s">
        <v>1087</v>
      </c>
      <c r="E51" s="6" t="s">
        <v>1088</v>
      </c>
      <c r="F51" s="7" t="s">
        <v>1088</v>
      </c>
      <c r="G51" s="6" t="s">
        <v>1089</v>
      </c>
    </row>
    <row r="52" spans="1:7" ht="13.8">
      <c r="A52" s="9" t="s">
        <v>217</v>
      </c>
      <c r="B52" s="6" t="s">
        <v>1090</v>
      </c>
      <c r="C52" s="6" t="s">
        <v>1091</v>
      </c>
      <c r="D52" s="6" t="s">
        <v>1092</v>
      </c>
      <c r="E52" s="6" t="s">
        <v>1087</v>
      </c>
      <c r="F52" s="7" t="s">
        <v>1087</v>
      </c>
      <c r="G52" s="6" t="s">
        <v>1093</v>
      </c>
    </row>
    <row r="53" spans="1:7" ht="13.8">
      <c r="A53" s="9" t="s">
        <v>221</v>
      </c>
      <c r="B53" s="6" t="s">
        <v>1094</v>
      </c>
      <c r="C53" s="6" t="s">
        <v>1095</v>
      </c>
      <c r="D53" s="6" t="s">
        <v>1096</v>
      </c>
      <c r="E53" s="6" t="s">
        <v>1097</v>
      </c>
      <c r="F53" s="7" t="s">
        <v>1097</v>
      </c>
      <c r="G53" s="6" t="s">
        <v>1098</v>
      </c>
    </row>
    <row r="54" spans="1:7" ht="13.8">
      <c r="A54" s="9" t="s">
        <v>225</v>
      </c>
      <c r="B54" s="6" t="s">
        <v>1099</v>
      </c>
      <c r="C54" s="6" t="s">
        <v>1100</v>
      </c>
      <c r="D54" s="6" t="s">
        <v>1101</v>
      </c>
      <c r="E54" s="6" t="s">
        <v>897</v>
      </c>
      <c r="F54" s="7" t="s">
        <v>897</v>
      </c>
      <c r="G54" s="6" t="s">
        <v>1102</v>
      </c>
    </row>
    <row r="55" spans="1:7" ht="13.8">
      <c r="A55" s="9" t="s">
        <v>230</v>
      </c>
      <c r="B55" s="6" t="s">
        <v>1103</v>
      </c>
      <c r="C55" s="6" t="s">
        <v>1104</v>
      </c>
      <c r="D55" s="6" t="s">
        <v>1105</v>
      </c>
      <c r="E55" s="6" t="s">
        <v>1106</v>
      </c>
      <c r="F55" s="7" t="s">
        <v>1106</v>
      </c>
      <c r="G55" s="6" t="s">
        <v>1107</v>
      </c>
    </row>
    <row r="56" spans="1:7" ht="13.8">
      <c r="A56" s="9" t="s">
        <v>235</v>
      </c>
      <c r="B56" s="6" t="s">
        <v>1108</v>
      </c>
      <c r="C56" s="6" t="s">
        <v>1109</v>
      </c>
      <c r="D56" s="6" t="s">
        <v>1110</v>
      </c>
      <c r="E56" s="6" t="s">
        <v>1111</v>
      </c>
      <c r="F56" s="7" t="s">
        <v>1111</v>
      </c>
      <c r="G56" s="6" t="s">
        <v>1112</v>
      </c>
    </row>
    <row r="57" spans="1:7" ht="13.8">
      <c r="A57" s="9" t="s">
        <v>237</v>
      </c>
      <c r="B57" s="6" t="s">
        <v>1113</v>
      </c>
      <c r="C57" s="6" t="s">
        <v>1114</v>
      </c>
      <c r="D57" s="6" t="s">
        <v>1055</v>
      </c>
      <c r="E57" s="6" t="s">
        <v>1115</v>
      </c>
      <c r="F57" s="7" t="s">
        <v>1115</v>
      </c>
      <c r="G57" s="6" t="s">
        <v>1116</v>
      </c>
    </row>
    <row r="58" spans="1:7" ht="13.8">
      <c r="A58" s="9" t="s">
        <v>242</v>
      </c>
      <c r="B58" s="6" t="s">
        <v>1117</v>
      </c>
      <c r="C58" s="6" t="s">
        <v>1118</v>
      </c>
      <c r="D58" s="6" t="s">
        <v>1119</v>
      </c>
      <c r="E58" s="6" t="s">
        <v>1120</v>
      </c>
      <c r="F58" s="7" t="s">
        <v>1120</v>
      </c>
      <c r="G58" s="6" t="s">
        <v>1121</v>
      </c>
    </row>
    <row r="59" spans="1:7" ht="13.8">
      <c r="A59" s="9" t="s">
        <v>246</v>
      </c>
      <c r="B59" s="6" t="s">
        <v>1122</v>
      </c>
      <c r="C59" s="6" t="s">
        <v>1123</v>
      </c>
      <c r="D59" s="6" t="s">
        <v>1124</v>
      </c>
      <c r="E59" s="6" t="s">
        <v>1125</v>
      </c>
      <c r="F59" s="7" t="s">
        <v>1125</v>
      </c>
      <c r="G59" s="6" t="s">
        <v>1126</v>
      </c>
    </row>
    <row r="60" spans="1:7" ht="13.8">
      <c r="A60" s="9" t="s">
        <v>250</v>
      </c>
      <c r="B60" s="6" t="s">
        <v>961</v>
      </c>
      <c r="C60" s="6" t="s">
        <v>1127</v>
      </c>
      <c r="D60" s="6" t="s">
        <v>1128</v>
      </c>
      <c r="E60" s="6" t="s">
        <v>1129</v>
      </c>
      <c r="F60" s="7" t="s">
        <v>1129</v>
      </c>
      <c r="G60" s="6" t="s">
        <v>1130</v>
      </c>
    </row>
    <row r="61" spans="1:7" ht="13.8">
      <c r="A61" s="9" t="s">
        <v>252</v>
      </c>
      <c r="B61" s="6" t="s">
        <v>1131</v>
      </c>
      <c r="C61" s="6" t="s">
        <v>1132</v>
      </c>
      <c r="D61" s="6" t="s">
        <v>1133</v>
      </c>
      <c r="E61" s="6" t="s">
        <v>1134</v>
      </c>
      <c r="F61" s="7" t="s">
        <v>1134</v>
      </c>
      <c r="G61" s="6" t="s">
        <v>1135</v>
      </c>
    </row>
    <row r="62" spans="1:7" ht="13.8">
      <c r="A62" s="9" t="s">
        <v>255</v>
      </c>
      <c r="B62" s="6" t="s">
        <v>1136</v>
      </c>
      <c r="C62" s="6" t="s">
        <v>1137</v>
      </c>
      <c r="D62" s="6" t="s">
        <v>920</v>
      </c>
      <c r="E62" s="6" t="s">
        <v>1138</v>
      </c>
      <c r="F62" s="7" t="s">
        <v>1138</v>
      </c>
      <c r="G62" s="6" t="s">
        <v>1139</v>
      </c>
    </row>
    <row r="63" spans="1:7" ht="13.8">
      <c r="A63" s="9" t="s">
        <v>259</v>
      </c>
      <c r="B63" s="6" t="s">
        <v>1140</v>
      </c>
      <c r="C63" s="6" t="s">
        <v>1141</v>
      </c>
      <c r="D63" s="6" t="s">
        <v>1142</v>
      </c>
      <c r="E63" s="6" t="s">
        <v>1143</v>
      </c>
      <c r="F63" s="7" t="s">
        <v>1143</v>
      </c>
      <c r="G63" s="6" t="s">
        <v>1144</v>
      </c>
    </row>
    <row r="64" spans="1:7" ht="13.8">
      <c r="A64" s="9" t="s">
        <v>264</v>
      </c>
      <c r="B64" s="6" t="s">
        <v>1145</v>
      </c>
      <c r="C64" s="6" t="s">
        <v>1146</v>
      </c>
      <c r="D64" s="6" t="s">
        <v>1147</v>
      </c>
      <c r="E64" s="6" t="s">
        <v>925</v>
      </c>
      <c r="F64" s="7" t="s">
        <v>925</v>
      </c>
      <c r="G64" s="6" t="s">
        <v>1148</v>
      </c>
    </row>
    <row r="65" spans="1:7" ht="13.8">
      <c r="A65" s="9" t="s">
        <v>268</v>
      </c>
      <c r="B65" s="6" t="s">
        <v>1149</v>
      </c>
      <c r="C65" s="6" t="s">
        <v>1150</v>
      </c>
      <c r="D65" s="6" t="s">
        <v>1151</v>
      </c>
      <c r="E65" s="6" t="s">
        <v>1152</v>
      </c>
      <c r="F65" s="7" t="s">
        <v>1152</v>
      </c>
      <c r="G65" s="6" t="s">
        <v>1153</v>
      </c>
    </row>
    <row r="66" spans="1:7" ht="13.8">
      <c r="A66" s="9" t="s">
        <v>273</v>
      </c>
      <c r="B66" s="6" t="s">
        <v>1154</v>
      </c>
      <c r="C66" s="6" t="s">
        <v>1155</v>
      </c>
      <c r="D66" s="6" t="s">
        <v>1147</v>
      </c>
      <c r="E66" s="6" t="s">
        <v>1156</v>
      </c>
      <c r="F66" s="7" t="s">
        <v>1156</v>
      </c>
      <c r="G66" s="6" t="s">
        <v>1157</v>
      </c>
    </row>
    <row r="67" spans="1:7" ht="13.8">
      <c r="A67" s="9" t="s">
        <v>277</v>
      </c>
      <c r="B67" s="6" t="s">
        <v>1158</v>
      </c>
      <c r="C67" s="6" t="s">
        <v>1159</v>
      </c>
      <c r="D67" s="6" t="s">
        <v>1160</v>
      </c>
      <c r="E67" s="6" t="s">
        <v>1161</v>
      </c>
      <c r="F67" s="7" t="s">
        <v>1161</v>
      </c>
      <c r="G67" s="6" t="s">
        <v>1162</v>
      </c>
    </row>
    <row r="68" spans="1:7" ht="13.8">
      <c r="A68" s="9" t="s">
        <v>281</v>
      </c>
      <c r="B68" s="6" t="s">
        <v>1163</v>
      </c>
      <c r="C68" s="6" t="s">
        <v>1164</v>
      </c>
      <c r="D68" s="6" t="s">
        <v>1165</v>
      </c>
      <c r="E68" s="6" t="s">
        <v>1166</v>
      </c>
      <c r="F68" s="7" t="s">
        <v>1166</v>
      </c>
      <c r="G68" s="6" t="s">
        <v>1167</v>
      </c>
    </row>
    <row r="69" spans="1:7" ht="13.8">
      <c r="A69" s="9" t="s">
        <v>284</v>
      </c>
      <c r="B69" s="6" t="s">
        <v>1168</v>
      </c>
      <c r="C69" s="6" t="s">
        <v>1169</v>
      </c>
      <c r="D69" s="6" t="s">
        <v>1170</v>
      </c>
      <c r="E69" s="6" t="s">
        <v>1171</v>
      </c>
      <c r="F69" s="7" t="s">
        <v>1171</v>
      </c>
      <c r="G69" s="6" t="s">
        <v>1172</v>
      </c>
    </row>
    <row r="70" spans="1:7" ht="13.8">
      <c r="A70" s="9" t="s">
        <v>289</v>
      </c>
      <c r="B70" s="6" t="s">
        <v>1173</v>
      </c>
      <c r="C70" s="6" t="s">
        <v>1174</v>
      </c>
      <c r="D70" s="6" t="s">
        <v>1129</v>
      </c>
      <c r="E70" s="6" t="s">
        <v>1175</v>
      </c>
      <c r="F70" s="7" t="s">
        <v>1175</v>
      </c>
      <c r="G70" s="6" t="s">
        <v>1176</v>
      </c>
    </row>
    <row r="71" spans="1:7" ht="13.8">
      <c r="A71" s="9" t="s">
        <v>293</v>
      </c>
      <c r="B71" s="6" t="s">
        <v>1177</v>
      </c>
      <c r="C71" s="6" t="s">
        <v>1178</v>
      </c>
      <c r="D71" s="6" t="s">
        <v>1179</v>
      </c>
      <c r="E71" s="6" t="s">
        <v>1180</v>
      </c>
      <c r="F71" s="7" t="s">
        <v>1180</v>
      </c>
      <c r="G71" s="6" t="s">
        <v>1181</v>
      </c>
    </row>
    <row r="72" spans="1:7" ht="13.8">
      <c r="A72" s="9" t="s">
        <v>296</v>
      </c>
      <c r="B72" s="6" t="s">
        <v>939</v>
      </c>
      <c r="C72" s="6" t="s">
        <v>1182</v>
      </c>
      <c r="D72" s="6" t="s">
        <v>1183</v>
      </c>
      <c r="E72" s="6" t="s">
        <v>1184</v>
      </c>
      <c r="F72" s="7" t="s">
        <v>1184</v>
      </c>
      <c r="G72" s="6" t="s">
        <v>1185</v>
      </c>
    </row>
    <row r="73" spans="1:7" ht="13.8">
      <c r="A73" s="9" t="s">
        <v>300</v>
      </c>
      <c r="B73" s="6" t="s">
        <v>1186</v>
      </c>
      <c r="C73" s="6" t="s">
        <v>1187</v>
      </c>
      <c r="D73" s="6" t="s">
        <v>1188</v>
      </c>
      <c r="E73" s="6" t="s">
        <v>1189</v>
      </c>
      <c r="F73" s="7" t="s">
        <v>1189</v>
      </c>
      <c r="G73" s="6" t="s">
        <v>1190</v>
      </c>
    </row>
    <row r="74" spans="1:7" ht="13.8">
      <c r="A74" s="9" t="s">
        <v>303</v>
      </c>
      <c r="B74" s="6" t="s">
        <v>1191</v>
      </c>
      <c r="C74" s="6" t="s">
        <v>1192</v>
      </c>
      <c r="D74" s="6" t="s">
        <v>1193</v>
      </c>
      <c r="E74" s="6" t="s">
        <v>1194</v>
      </c>
      <c r="F74" s="7" t="s">
        <v>1194</v>
      </c>
      <c r="G74" s="6" t="s">
        <v>1195</v>
      </c>
    </row>
    <row r="75" spans="1:7" ht="13.8">
      <c r="A75" s="9" t="s">
        <v>307</v>
      </c>
      <c r="B75" s="6" t="s">
        <v>1196</v>
      </c>
      <c r="C75" s="6" t="s">
        <v>1197</v>
      </c>
      <c r="D75" s="6" t="s">
        <v>1198</v>
      </c>
      <c r="E75" s="6" t="s">
        <v>1199</v>
      </c>
      <c r="F75" s="7" t="s">
        <v>1199</v>
      </c>
      <c r="G75" s="6" t="s">
        <v>1200</v>
      </c>
    </row>
    <row r="76" spans="1:7" ht="13.8">
      <c r="A76" s="9" t="s">
        <v>312</v>
      </c>
      <c r="B76" s="6" t="s">
        <v>1201</v>
      </c>
      <c r="C76" s="6" t="s">
        <v>1202</v>
      </c>
      <c r="D76" s="6" t="s">
        <v>1203</v>
      </c>
      <c r="E76" s="6" t="s">
        <v>1204</v>
      </c>
      <c r="F76" s="7" t="s">
        <v>1204</v>
      </c>
      <c r="G76" s="6" t="s">
        <v>1205</v>
      </c>
    </row>
    <row r="77" spans="1:7" ht="13.8">
      <c r="A77" s="9" t="s">
        <v>316</v>
      </c>
      <c r="B77" s="6" t="s">
        <v>1206</v>
      </c>
      <c r="C77" s="6" t="s">
        <v>1207</v>
      </c>
      <c r="D77" s="6" t="s">
        <v>1208</v>
      </c>
      <c r="E77" s="6" t="s">
        <v>1209</v>
      </c>
      <c r="F77" s="7" t="s">
        <v>1209</v>
      </c>
      <c r="G77" s="6" t="s">
        <v>1210</v>
      </c>
    </row>
    <row r="78" spans="1:7" ht="13.8">
      <c r="A78" s="9" t="s">
        <v>320</v>
      </c>
      <c r="B78" s="6" t="s">
        <v>1211</v>
      </c>
      <c r="C78" s="6" t="s">
        <v>1212</v>
      </c>
      <c r="D78" s="6" t="s">
        <v>1134</v>
      </c>
      <c r="E78" s="6" t="s">
        <v>1213</v>
      </c>
      <c r="F78" s="7" t="s">
        <v>1213</v>
      </c>
      <c r="G78" s="6" t="s">
        <v>1214</v>
      </c>
    </row>
    <row r="79" spans="1:7" ht="13.8">
      <c r="A79" s="9" t="s">
        <v>323</v>
      </c>
      <c r="B79" s="6" t="s">
        <v>1215</v>
      </c>
      <c r="C79" s="6" t="s">
        <v>1216</v>
      </c>
      <c r="D79" s="6" t="s">
        <v>1217</v>
      </c>
      <c r="E79" s="6" t="s">
        <v>1128</v>
      </c>
      <c r="F79" s="7" t="s">
        <v>1128</v>
      </c>
      <c r="G79" s="6" t="s">
        <v>1218</v>
      </c>
    </row>
    <row r="80" spans="1:7" ht="13.8">
      <c r="A80" s="9" t="s">
        <v>328</v>
      </c>
      <c r="B80" s="6" t="s">
        <v>1219</v>
      </c>
      <c r="C80" s="6" t="s">
        <v>1219</v>
      </c>
      <c r="D80" s="6" t="s">
        <v>1220</v>
      </c>
      <c r="E80" s="6" t="s">
        <v>1221</v>
      </c>
      <c r="F80" s="7" t="s">
        <v>1221</v>
      </c>
      <c r="G80" s="6" t="s">
        <v>1222</v>
      </c>
    </row>
    <row r="81" spans="1:7" ht="13.8">
      <c r="A81" s="9" t="s">
        <v>333</v>
      </c>
      <c r="B81" s="6" t="s">
        <v>1223</v>
      </c>
      <c r="C81" s="6" t="s">
        <v>1224</v>
      </c>
      <c r="D81" s="6" t="s">
        <v>1225</v>
      </c>
      <c r="E81" s="6" t="s">
        <v>1226</v>
      </c>
      <c r="F81" s="7" t="s">
        <v>1226</v>
      </c>
      <c r="G81" s="6" t="s">
        <v>1227</v>
      </c>
    </row>
    <row r="82" spans="1:7" ht="13.8">
      <c r="A82" s="9" t="s">
        <v>338</v>
      </c>
      <c r="B82" s="6" t="s">
        <v>1228</v>
      </c>
      <c r="C82" s="6" t="s">
        <v>1229</v>
      </c>
      <c r="D82" s="6" t="s">
        <v>1230</v>
      </c>
      <c r="E82" s="6" t="s">
        <v>1231</v>
      </c>
      <c r="F82" s="7" t="s">
        <v>1231</v>
      </c>
      <c r="G82" s="6" t="s">
        <v>1232</v>
      </c>
    </row>
    <row r="83" spans="1:7" ht="13.8">
      <c r="A83" s="9" t="s">
        <v>341</v>
      </c>
      <c r="B83" s="6" t="s">
        <v>1233</v>
      </c>
      <c r="C83" s="6" t="s">
        <v>1234</v>
      </c>
      <c r="D83" s="6" t="s">
        <v>1235</v>
      </c>
      <c r="E83" s="6" t="s">
        <v>1236</v>
      </c>
      <c r="F83" s="7" t="s">
        <v>1236</v>
      </c>
      <c r="G83" s="6" t="s">
        <v>1237</v>
      </c>
    </row>
    <row r="84" spans="1:7" ht="13.8">
      <c r="A84" s="9" t="s">
        <v>344</v>
      </c>
      <c r="B84" s="6" t="s">
        <v>1238</v>
      </c>
      <c r="C84" s="6" t="s">
        <v>1239</v>
      </c>
      <c r="D84" s="6" t="s">
        <v>1240</v>
      </c>
      <c r="E84" s="6" t="s">
        <v>1241</v>
      </c>
      <c r="F84" s="7" t="s">
        <v>1241</v>
      </c>
      <c r="G84" s="6" t="s">
        <v>1242</v>
      </c>
    </row>
    <row r="85" spans="1:7" ht="13.8">
      <c r="A85" s="9" t="s">
        <v>349</v>
      </c>
      <c r="B85" s="6" t="s">
        <v>1243</v>
      </c>
      <c r="C85" s="6" t="s">
        <v>1244</v>
      </c>
      <c r="D85" s="6" t="s">
        <v>1245</v>
      </c>
      <c r="E85" s="6" t="s">
        <v>1246</v>
      </c>
      <c r="F85" s="7" t="s">
        <v>1246</v>
      </c>
      <c r="G85" s="6" t="s">
        <v>1210</v>
      </c>
    </row>
    <row r="86" spans="1:7" ht="13.8">
      <c r="A86" s="9" t="s">
        <v>353</v>
      </c>
      <c r="B86" s="6" t="s">
        <v>1247</v>
      </c>
      <c r="C86" s="6" t="s">
        <v>1248</v>
      </c>
      <c r="D86" s="6" t="s">
        <v>1249</v>
      </c>
      <c r="E86" s="6" t="s">
        <v>1250</v>
      </c>
      <c r="F86" s="7" t="s">
        <v>1250</v>
      </c>
      <c r="G86" s="6" t="s">
        <v>1251</v>
      </c>
    </row>
    <row r="87" spans="1:7" ht="13.8">
      <c r="A87" s="9" t="s">
        <v>357</v>
      </c>
      <c r="B87" s="6" t="s">
        <v>1252</v>
      </c>
      <c r="C87" s="6" t="s">
        <v>1253</v>
      </c>
      <c r="D87" s="6" t="s">
        <v>1254</v>
      </c>
      <c r="E87" s="6" t="s">
        <v>1255</v>
      </c>
      <c r="F87" s="7" t="s">
        <v>1255</v>
      </c>
      <c r="G87" s="6" t="s">
        <v>1256</v>
      </c>
    </row>
    <row r="88" spans="1:7" ht="13.8">
      <c r="A88" s="9" t="s">
        <v>359</v>
      </c>
      <c r="B88" s="6" t="s">
        <v>1257</v>
      </c>
      <c r="C88" s="6" t="s">
        <v>1258</v>
      </c>
      <c r="D88" s="6" t="s">
        <v>1229</v>
      </c>
      <c r="E88" s="6" t="s">
        <v>1041</v>
      </c>
      <c r="F88" s="7" t="s">
        <v>1041</v>
      </c>
      <c r="G88" s="6" t="s">
        <v>1259</v>
      </c>
    </row>
    <row r="89" spans="1:7" ht="13.8">
      <c r="A89" s="9" t="s">
        <v>363</v>
      </c>
      <c r="B89" s="6" t="s">
        <v>1260</v>
      </c>
      <c r="C89" s="6" t="s">
        <v>1261</v>
      </c>
      <c r="D89" s="6" t="s">
        <v>1262</v>
      </c>
      <c r="E89" s="6" t="s">
        <v>1263</v>
      </c>
      <c r="F89" s="7" t="s">
        <v>1263</v>
      </c>
      <c r="G89" s="6" t="s">
        <v>1264</v>
      </c>
    </row>
    <row r="90" spans="1:7" ht="13.8">
      <c r="A90" s="9" t="s">
        <v>366</v>
      </c>
      <c r="B90" s="6" t="s">
        <v>1265</v>
      </c>
      <c r="C90" s="6" t="s">
        <v>1266</v>
      </c>
      <c r="D90" s="6" t="s">
        <v>1267</v>
      </c>
      <c r="E90" s="6" t="s">
        <v>1268</v>
      </c>
      <c r="F90" s="7" t="s">
        <v>1268</v>
      </c>
      <c r="G90" s="6" t="s">
        <v>1269</v>
      </c>
    </row>
    <row r="91" spans="1:7" ht="13.8">
      <c r="A91" s="9" t="s">
        <v>369</v>
      </c>
      <c r="B91" s="6" t="s">
        <v>1270</v>
      </c>
      <c r="C91" s="6" t="s">
        <v>1271</v>
      </c>
      <c r="D91" s="6" t="s">
        <v>1272</v>
      </c>
      <c r="E91" s="6" t="s">
        <v>1273</v>
      </c>
      <c r="F91" s="7" t="s">
        <v>1273</v>
      </c>
      <c r="G91" s="6" t="s">
        <v>1274</v>
      </c>
    </row>
    <row r="92" spans="1:7" ht="13.8">
      <c r="A92" s="9" t="s">
        <v>373</v>
      </c>
      <c r="B92" s="6" t="s">
        <v>1275</v>
      </c>
      <c r="C92" s="6" t="s">
        <v>1276</v>
      </c>
      <c r="D92" s="6" t="s">
        <v>1277</v>
      </c>
      <c r="E92" s="6" t="s">
        <v>1278</v>
      </c>
      <c r="F92" s="7" t="s">
        <v>1278</v>
      </c>
      <c r="G92" s="6" t="s">
        <v>1279</v>
      </c>
    </row>
    <row r="93" spans="1:7" ht="13.8">
      <c r="A93" s="9" t="s">
        <v>377</v>
      </c>
      <c r="B93" s="6" t="s">
        <v>1280</v>
      </c>
      <c r="C93" s="6" t="s">
        <v>1281</v>
      </c>
      <c r="D93" s="6" t="s">
        <v>1282</v>
      </c>
      <c r="E93" s="6" t="s">
        <v>1283</v>
      </c>
      <c r="F93" s="7" t="s">
        <v>1283</v>
      </c>
      <c r="G93" s="6" t="s">
        <v>1284</v>
      </c>
    </row>
    <row r="94" spans="1:7" ht="13.8">
      <c r="A94" s="9" t="s">
        <v>382</v>
      </c>
      <c r="B94" s="6" t="s">
        <v>1285</v>
      </c>
      <c r="C94" s="6" t="s">
        <v>1286</v>
      </c>
      <c r="D94" s="6" t="s">
        <v>1287</v>
      </c>
      <c r="E94" s="6" t="s">
        <v>1288</v>
      </c>
      <c r="F94" s="7" t="s">
        <v>1288</v>
      </c>
      <c r="G94" s="6" t="s">
        <v>1289</v>
      </c>
    </row>
    <row r="95" spans="1:7" ht="13.8">
      <c r="A95" s="9" t="s">
        <v>386</v>
      </c>
      <c r="B95" s="6" t="s">
        <v>1290</v>
      </c>
      <c r="C95" s="6" t="s">
        <v>1291</v>
      </c>
      <c r="D95" s="6" t="s">
        <v>1292</v>
      </c>
      <c r="E95" s="6" t="s">
        <v>1293</v>
      </c>
      <c r="F95" s="7" t="s">
        <v>1293</v>
      </c>
      <c r="G95" s="6" t="s">
        <v>1294</v>
      </c>
    </row>
    <row r="96" spans="1:7" ht="13.8">
      <c r="A96" s="9" t="s">
        <v>390</v>
      </c>
      <c r="B96" s="6" t="s">
        <v>1295</v>
      </c>
      <c r="C96" s="6" t="s">
        <v>1296</v>
      </c>
      <c r="D96" s="6" t="s">
        <v>1297</v>
      </c>
      <c r="E96" s="6" t="s">
        <v>1298</v>
      </c>
      <c r="F96" s="7" t="s">
        <v>1298</v>
      </c>
      <c r="G96" s="6" t="s">
        <v>1299</v>
      </c>
    </row>
    <row r="97" spans="1:7" ht="13.8">
      <c r="A97" s="9" t="s">
        <v>395</v>
      </c>
      <c r="B97" s="6" t="s">
        <v>1300</v>
      </c>
      <c r="C97" s="6" t="s">
        <v>1301</v>
      </c>
      <c r="D97" s="6" t="s">
        <v>1302</v>
      </c>
      <c r="E97" s="6" t="s">
        <v>1303</v>
      </c>
      <c r="F97" s="7" t="s">
        <v>1303</v>
      </c>
      <c r="G97" s="6" t="s">
        <v>1304</v>
      </c>
    </row>
    <row r="98" spans="1:7" ht="13.8">
      <c r="A98" s="9" t="s">
        <v>397</v>
      </c>
      <c r="B98" s="6" t="s">
        <v>1305</v>
      </c>
      <c r="C98" s="6" t="s">
        <v>1306</v>
      </c>
      <c r="D98" s="6" t="s">
        <v>1307</v>
      </c>
      <c r="E98" s="6" t="s">
        <v>1308</v>
      </c>
      <c r="F98" s="7" t="s">
        <v>1308</v>
      </c>
      <c r="G98" s="6" t="s">
        <v>1309</v>
      </c>
    </row>
    <row r="99" spans="1:7" ht="13.8">
      <c r="A99" s="9" t="s">
        <v>399</v>
      </c>
      <c r="B99" s="6" t="s">
        <v>1310</v>
      </c>
      <c r="C99" s="6" t="s">
        <v>1311</v>
      </c>
      <c r="D99" s="6" t="s">
        <v>1312</v>
      </c>
      <c r="E99" s="6" t="s">
        <v>1313</v>
      </c>
      <c r="F99" s="7" t="s">
        <v>1313</v>
      </c>
      <c r="G99" s="6" t="s">
        <v>1314</v>
      </c>
    </row>
    <row r="100" spans="1:7" ht="13.8">
      <c r="A100" s="9" t="s">
        <v>403</v>
      </c>
      <c r="B100" s="6" t="s">
        <v>1315</v>
      </c>
      <c r="C100" s="6" t="s">
        <v>1316</v>
      </c>
      <c r="D100" s="6" t="s">
        <v>1317</v>
      </c>
      <c r="E100" s="6" t="s">
        <v>1318</v>
      </c>
      <c r="F100" s="7" t="s">
        <v>1318</v>
      </c>
      <c r="G100" s="6" t="s">
        <v>1319</v>
      </c>
    </row>
    <row r="101" spans="1:7" ht="13.8">
      <c r="A101" s="9" t="s">
        <v>407</v>
      </c>
      <c r="B101" s="6" t="s">
        <v>1320</v>
      </c>
      <c r="C101" s="6" t="s">
        <v>1321</v>
      </c>
      <c r="D101" s="6" t="s">
        <v>1322</v>
      </c>
      <c r="E101" s="6" t="s">
        <v>1323</v>
      </c>
      <c r="F101" s="7" t="s">
        <v>1323</v>
      </c>
      <c r="G101" s="6" t="s">
        <v>1324</v>
      </c>
    </row>
    <row r="102" spans="1:7" ht="13.8">
      <c r="A102" s="9" t="s">
        <v>409</v>
      </c>
      <c r="B102" s="6" t="s">
        <v>1325</v>
      </c>
      <c r="C102" s="6" t="s">
        <v>1253</v>
      </c>
      <c r="D102" s="6" t="s">
        <v>1186</v>
      </c>
      <c r="E102" s="6" t="s">
        <v>954</v>
      </c>
      <c r="F102" s="7" t="s">
        <v>954</v>
      </c>
      <c r="G102" s="6" t="s">
        <v>1326</v>
      </c>
    </row>
    <row r="103" spans="1:7" ht="13.8">
      <c r="A103" s="9" t="s">
        <v>411</v>
      </c>
      <c r="B103" s="6" t="s">
        <v>1327</v>
      </c>
      <c r="C103" s="6" t="s">
        <v>1328</v>
      </c>
      <c r="D103" s="6" t="s">
        <v>949</v>
      </c>
      <c r="E103" s="6" t="s">
        <v>1329</v>
      </c>
      <c r="F103" s="7" t="s">
        <v>1329</v>
      </c>
      <c r="G103" s="6" t="s">
        <v>1330</v>
      </c>
    </row>
    <row r="104" spans="1:7" ht="13.8">
      <c r="A104" s="9" t="s">
        <v>414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7" t="s">
        <v>1334</v>
      </c>
      <c r="G104" s="6" t="s">
        <v>1335</v>
      </c>
    </row>
    <row r="105" spans="1:7" ht="13.8">
      <c r="A105" s="9" t="s">
        <v>419</v>
      </c>
      <c r="B105" s="6" t="s">
        <v>1336</v>
      </c>
      <c r="C105" s="6" t="s">
        <v>1337</v>
      </c>
      <c r="D105" s="6" t="s">
        <v>1338</v>
      </c>
      <c r="E105" s="6" t="s">
        <v>1339</v>
      </c>
      <c r="F105" s="7" t="s">
        <v>1339</v>
      </c>
      <c r="G105" s="6" t="s">
        <v>1340</v>
      </c>
    </row>
    <row r="106" spans="1:7" ht="13.8">
      <c r="A106" s="9" t="s">
        <v>421</v>
      </c>
      <c r="B106" s="6" t="s">
        <v>1341</v>
      </c>
      <c r="C106" s="6" t="s">
        <v>1342</v>
      </c>
      <c r="D106" s="6" t="s">
        <v>1343</v>
      </c>
      <c r="E106" s="6" t="s">
        <v>1344</v>
      </c>
      <c r="F106" s="7" t="s">
        <v>1344</v>
      </c>
      <c r="G106" s="6" t="s">
        <v>1345</v>
      </c>
    </row>
    <row r="107" spans="1:7" ht="13.8">
      <c r="A107" s="9" t="s">
        <v>424</v>
      </c>
      <c r="B107" s="6" t="s">
        <v>1346</v>
      </c>
      <c r="C107" s="6" t="s">
        <v>1347</v>
      </c>
      <c r="D107" s="6" t="s">
        <v>1348</v>
      </c>
      <c r="E107" s="6" t="s">
        <v>1349</v>
      </c>
      <c r="F107" s="7" t="s">
        <v>1349</v>
      </c>
      <c r="G107" s="6" t="s">
        <v>1350</v>
      </c>
    </row>
    <row r="108" spans="1:7" ht="13.8">
      <c r="A108" s="9" t="s">
        <v>427</v>
      </c>
      <c r="B108" s="6" t="s">
        <v>1351</v>
      </c>
      <c r="C108" s="6" t="s">
        <v>1352</v>
      </c>
      <c r="D108" s="6" t="s">
        <v>1353</v>
      </c>
      <c r="E108" s="6" t="s">
        <v>1354</v>
      </c>
      <c r="F108" s="7" t="s">
        <v>1354</v>
      </c>
      <c r="G108" s="6" t="s">
        <v>1355</v>
      </c>
    </row>
    <row r="109" spans="1:7" ht="13.8">
      <c r="A109" s="9" t="s">
        <v>429</v>
      </c>
      <c r="B109" s="6" t="s">
        <v>1356</v>
      </c>
      <c r="C109" s="6" t="s">
        <v>1357</v>
      </c>
      <c r="D109" s="6" t="s">
        <v>1358</v>
      </c>
      <c r="E109" s="6" t="s">
        <v>1359</v>
      </c>
      <c r="F109" s="7" t="s">
        <v>1359</v>
      </c>
      <c r="G109" s="6" t="s">
        <v>1360</v>
      </c>
    </row>
    <row r="110" spans="1:7" ht="13.8">
      <c r="A110" s="9" t="s">
        <v>433</v>
      </c>
      <c r="B110" s="6" t="s">
        <v>1361</v>
      </c>
      <c r="C110" s="6" t="s">
        <v>1362</v>
      </c>
      <c r="D110" s="6" t="s">
        <v>1363</v>
      </c>
      <c r="E110" s="6" t="s">
        <v>1364</v>
      </c>
      <c r="F110" s="7" t="s">
        <v>1364</v>
      </c>
      <c r="G110" s="6" t="s">
        <v>1365</v>
      </c>
    </row>
    <row r="111" spans="1:7" ht="13.8">
      <c r="A111" s="9" t="s">
        <v>437</v>
      </c>
      <c r="B111" s="6" t="s">
        <v>1366</v>
      </c>
      <c r="C111" s="6" t="s">
        <v>1367</v>
      </c>
      <c r="D111" s="6" t="s">
        <v>1368</v>
      </c>
      <c r="E111" s="6" t="s">
        <v>1369</v>
      </c>
      <c r="F111" s="7" t="s">
        <v>1369</v>
      </c>
      <c r="G111" s="6" t="s">
        <v>1370</v>
      </c>
    </row>
    <row r="112" spans="1:7" ht="13.8">
      <c r="A112" s="9" t="s">
        <v>441</v>
      </c>
      <c r="B112" s="6" t="s">
        <v>1371</v>
      </c>
      <c r="C112" s="6" t="s">
        <v>1372</v>
      </c>
      <c r="D112" s="6" t="s">
        <v>1373</v>
      </c>
      <c r="E112" s="6" t="s">
        <v>1374</v>
      </c>
      <c r="F112" s="7" t="s">
        <v>1374</v>
      </c>
      <c r="G112" s="6" t="s">
        <v>1375</v>
      </c>
    </row>
    <row r="113" spans="1:7" ht="13.8">
      <c r="A113" s="9" t="s">
        <v>444</v>
      </c>
      <c r="B113" s="6" t="s">
        <v>1376</v>
      </c>
      <c r="C113" s="6" t="s">
        <v>1377</v>
      </c>
      <c r="D113" s="6" t="s">
        <v>1378</v>
      </c>
      <c r="E113" s="6" t="s">
        <v>1379</v>
      </c>
      <c r="F113" s="7" t="s">
        <v>1379</v>
      </c>
      <c r="G113" s="6" t="s">
        <v>1380</v>
      </c>
    </row>
    <row r="114" spans="1:7" ht="13.8">
      <c r="A114" s="9" t="s">
        <v>446</v>
      </c>
      <c r="B114" s="6" t="s">
        <v>1381</v>
      </c>
      <c r="C114" s="6" t="s">
        <v>1382</v>
      </c>
      <c r="D114" s="6" t="s">
        <v>1383</v>
      </c>
      <c r="E114" s="6" t="s">
        <v>1384</v>
      </c>
      <c r="F114" s="7" t="s">
        <v>1384</v>
      </c>
      <c r="G114" s="6" t="s">
        <v>1385</v>
      </c>
    </row>
    <row r="115" spans="1:7" ht="13.8">
      <c r="A115" s="9" t="s">
        <v>450</v>
      </c>
      <c r="B115" s="6" t="s">
        <v>1386</v>
      </c>
      <c r="C115" s="6" t="s">
        <v>1387</v>
      </c>
      <c r="D115" s="6" t="s">
        <v>1263</v>
      </c>
      <c r="E115" s="6" t="s">
        <v>1388</v>
      </c>
      <c r="F115" s="7" t="s">
        <v>1388</v>
      </c>
      <c r="G115" s="6" t="s">
        <v>1389</v>
      </c>
    </row>
    <row r="116" spans="1:7" ht="13.8">
      <c r="A116" s="9" t="s">
        <v>453</v>
      </c>
      <c r="B116" s="6" t="s">
        <v>1390</v>
      </c>
      <c r="C116" s="6" t="s">
        <v>1391</v>
      </c>
      <c r="D116" s="6" t="s">
        <v>1392</v>
      </c>
      <c r="E116" s="6" t="s">
        <v>1286</v>
      </c>
      <c r="F116" s="7" t="s">
        <v>1286</v>
      </c>
      <c r="G116" s="6" t="s">
        <v>1393</v>
      </c>
    </row>
    <row r="117" spans="1:7" ht="13.8">
      <c r="A117" s="9" t="s">
        <v>455</v>
      </c>
      <c r="B117" s="6" t="s">
        <v>1394</v>
      </c>
      <c r="C117" s="6" t="s">
        <v>1395</v>
      </c>
      <c r="D117" s="6" t="s">
        <v>1396</v>
      </c>
      <c r="E117" s="6" t="s">
        <v>1397</v>
      </c>
      <c r="F117" s="7" t="s">
        <v>1397</v>
      </c>
      <c r="G117" s="6" t="s">
        <v>1398</v>
      </c>
    </row>
    <row r="118" spans="1:7" ht="13.8">
      <c r="A118" s="9" t="s">
        <v>458</v>
      </c>
      <c r="B118" s="6" t="s">
        <v>1399</v>
      </c>
      <c r="C118" s="6" t="s">
        <v>1400</v>
      </c>
      <c r="D118" s="6" t="s">
        <v>1401</v>
      </c>
      <c r="E118" s="6" t="s">
        <v>1402</v>
      </c>
      <c r="F118" s="7" t="s">
        <v>1402</v>
      </c>
      <c r="G118" s="6" t="s">
        <v>1403</v>
      </c>
    </row>
    <row r="119" spans="1:7" ht="13.8">
      <c r="A119" s="9" t="s">
        <v>460</v>
      </c>
      <c r="B119" s="6" t="s">
        <v>1404</v>
      </c>
      <c r="C119" s="6" t="s">
        <v>1405</v>
      </c>
      <c r="D119" s="6" t="s">
        <v>1406</v>
      </c>
      <c r="E119" s="6" t="s">
        <v>1407</v>
      </c>
      <c r="F119" s="7" t="s">
        <v>1407</v>
      </c>
      <c r="G119" s="6" t="s">
        <v>1408</v>
      </c>
    </row>
    <row r="120" spans="1:7" ht="13.8">
      <c r="A120" s="9" t="s">
        <v>462</v>
      </c>
      <c r="B120" s="6" t="s">
        <v>1409</v>
      </c>
      <c r="C120" s="6" t="s">
        <v>1410</v>
      </c>
      <c r="D120" s="6" t="s">
        <v>1411</v>
      </c>
      <c r="E120" s="6" t="s">
        <v>1412</v>
      </c>
      <c r="F120" s="7" t="s">
        <v>1412</v>
      </c>
      <c r="G120" s="6" t="s">
        <v>1413</v>
      </c>
    </row>
    <row r="121" spans="1:7" ht="13.8">
      <c r="A121" s="9" t="s">
        <v>465</v>
      </c>
      <c r="B121" s="6" t="s">
        <v>1414</v>
      </c>
      <c r="C121" s="6" t="s">
        <v>1415</v>
      </c>
      <c r="D121" s="6" t="s">
        <v>1416</v>
      </c>
      <c r="E121" s="6" t="s">
        <v>1417</v>
      </c>
      <c r="F121" s="7" t="s">
        <v>1417</v>
      </c>
      <c r="G121" s="6" t="s">
        <v>1418</v>
      </c>
    </row>
    <row r="122" spans="1:7" ht="13.8">
      <c r="A122" s="9" t="s">
        <v>468</v>
      </c>
      <c r="B122" s="6" t="s">
        <v>1419</v>
      </c>
      <c r="C122" s="6" t="s">
        <v>951</v>
      </c>
      <c r="D122" s="6" t="s">
        <v>1420</v>
      </c>
      <c r="E122" s="6" t="s">
        <v>1421</v>
      </c>
      <c r="F122" s="7" t="s">
        <v>1421</v>
      </c>
      <c r="G122" s="6" t="s">
        <v>1422</v>
      </c>
    </row>
    <row r="123" spans="1:7" ht="13.8">
      <c r="A123" s="9" t="s">
        <v>471</v>
      </c>
      <c r="B123" s="6" t="s">
        <v>1423</v>
      </c>
      <c r="C123" s="6" t="s">
        <v>1424</v>
      </c>
      <c r="D123" s="6" t="s">
        <v>1425</v>
      </c>
      <c r="E123" s="6" t="s">
        <v>1203</v>
      </c>
      <c r="F123" s="7" t="s">
        <v>1203</v>
      </c>
      <c r="G123" s="6" t="s">
        <v>1426</v>
      </c>
    </row>
    <row r="124" spans="1:7" ht="13.8">
      <c r="A124" s="9" t="s">
        <v>475</v>
      </c>
      <c r="B124" s="6" t="s">
        <v>1427</v>
      </c>
      <c r="C124" s="6" t="s">
        <v>1428</v>
      </c>
      <c r="D124" s="6" t="s">
        <v>1429</v>
      </c>
      <c r="E124" s="6" t="s">
        <v>1430</v>
      </c>
      <c r="F124" s="7" t="s">
        <v>1430</v>
      </c>
      <c r="G124" s="6" t="s">
        <v>1431</v>
      </c>
    </row>
    <row r="125" spans="1:7" ht="13.8">
      <c r="A125" s="9" t="s">
        <v>479</v>
      </c>
      <c r="B125" s="6" t="s">
        <v>1432</v>
      </c>
      <c r="C125" s="6" t="s">
        <v>1433</v>
      </c>
      <c r="D125" s="6" t="s">
        <v>1434</v>
      </c>
      <c r="E125" s="6" t="s">
        <v>1435</v>
      </c>
      <c r="F125" s="7" t="s">
        <v>1435</v>
      </c>
      <c r="G125" s="6" t="s">
        <v>1436</v>
      </c>
    </row>
    <row r="126" spans="1:7" ht="13.8">
      <c r="A126" s="9" t="s">
        <v>483</v>
      </c>
      <c r="B126" s="6" t="s">
        <v>1437</v>
      </c>
      <c r="C126" s="6" t="s">
        <v>1438</v>
      </c>
      <c r="D126" s="6" t="s">
        <v>1439</v>
      </c>
      <c r="E126" s="6" t="s">
        <v>1440</v>
      </c>
      <c r="F126" s="7" t="s">
        <v>1440</v>
      </c>
      <c r="G126" s="6" t="s">
        <v>1441</v>
      </c>
    </row>
    <row r="127" spans="1:7" ht="13.8">
      <c r="A127" s="9" t="s">
        <v>486</v>
      </c>
      <c r="B127" s="6" t="s">
        <v>1442</v>
      </c>
      <c r="C127" s="6" t="s">
        <v>1443</v>
      </c>
      <c r="D127" s="6" t="s">
        <v>1444</v>
      </c>
      <c r="E127" s="6" t="s">
        <v>1445</v>
      </c>
      <c r="F127" s="7" t="s">
        <v>1445</v>
      </c>
      <c r="G127" s="6" t="s">
        <v>1446</v>
      </c>
    </row>
    <row r="128" spans="1:7" ht="13.8">
      <c r="A128" s="9" t="s">
        <v>489</v>
      </c>
      <c r="B128" s="6" t="s">
        <v>1447</v>
      </c>
      <c r="C128" s="6" t="s">
        <v>1448</v>
      </c>
      <c r="D128" s="6" t="s">
        <v>1449</v>
      </c>
      <c r="E128" s="6" t="s">
        <v>1450</v>
      </c>
      <c r="F128" s="7" t="s">
        <v>1450</v>
      </c>
      <c r="G128" s="6" t="s">
        <v>1451</v>
      </c>
    </row>
    <row r="129" spans="1:7" ht="13.8">
      <c r="A129" s="9" t="s">
        <v>492</v>
      </c>
      <c r="B129" s="6" t="s">
        <v>1452</v>
      </c>
      <c r="C129" s="6" t="s">
        <v>1453</v>
      </c>
      <c r="D129" s="6" t="s">
        <v>1454</v>
      </c>
      <c r="E129" s="6" t="s">
        <v>1455</v>
      </c>
      <c r="F129" s="7" t="s">
        <v>1455</v>
      </c>
      <c r="G129" s="6" t="s">
        <v>1456</v>
      </c>
    </row>
    <row r="130" spans="1:7" ht="13.8">
      <c r="A130" s="9" t="s">
        <v>495</v>
      </c>
      <c r="B130" s="6" t="s">
        <v>1457</v>
      </c>
      <c r="C130" s="6" t="s">
        <v>1458</v>
      </c>
      <c r="D130" s="6" t="s">
        <v>1459</v>
      </c>
      <c r="E130" s="6" t="s">
        <v>1460</v>
      </c>
      <c r="F130" s="7" t="s">
        <v>1460</v>
      </c>
      <c r="G130" s="6" t="s">
        <v>1461</v>
      </c>
    </row>
    <row r="131" spans="1:7" ht="13.8">
      <c r="A131" s="9" t="s">
        <v>498</v>
      </c>
      <c r="B131" s="6" t="s">
        <v>1462</v>
      </c>
      <c r="C131" s="6" t="s">
        <v>1463</v>
      </c>
      <c r="D131" s="6" t="s">
        <v>1455</v>
      </c>
      <c r="E131" s="6" t="s">
        <v>1464</v>
      </c>
      <c r="F131" s="7" t="s">
        <v>1464</v>
      </c>
      <c r="G131" s="6" t="s">
        <v>1465</v>
      </c>
    </row>
    <row r="132" spans="1:7" ht="13.8">
      <c r="A132" s="9" t="s">
        <v>500</v>
      </c>
      <c r="B132" s="6" t="s">
        <v>1466</v>
      </c>
      <c r="C132" s="6" t="s">
        <v>1467</v>
      </c>
      <c r="D132" s="6" t="s">
        <v>1468</v>
      </c>
      <c r="E132" s="6" t="s">
        <v>1469</v>
      </c>
      <c r="F132" s="7" t="s">
        <v>1469</v>
      </c>
      <c r="G132" s="6" t="s">
        <v>1470</v>
      </c>
    </row>
    <row r="133" spans="1:7" ht="13.8">
      <c r="A133" s="9" t="s">
        <v>504</v>
      </c>
      <c r="B133" s="6" t="s">
        <v>1471</v>
      </c>
      <c r="C133" s="6" t="s">
        <v>1472</v>
      </c>
      <c r="D133" s="6" t="s">
        <v>1473</v>
      </c>
      <c r="E133" s="6" t="s">
        <v>1474</v>
      </c>
      <c r="F133" s="7" t="s">
        <v>1474</v>
      </c>
      <c r="G133" s="6" t="s">
        <v>1475</v>
      </c>
    </row>
    <row r="134" spans="1:7" ht="13.8">
      <c r="A134" s="9" t="s">
        <v>506</v>
      </c>
      <c r="B134" s="6" t="s">
        <v>1476</v>
      </c>
      <c r="C134" s="6" t="s">
        <v>1477</v>
      </c>
      <c r="D134" s="6" t="s">
        <v>1478</v>
      </c>
      <c r="E134" s="6" t="s">
        <v>1479</v>
      </c>
      <c r="F134" s="7" t="s">
        <v>1479</v>
      </c>
      <c r="G134" s="6" t="s">
        <v>1480</v>
      </c>
    </row>
    <row r="135" spans="1:7" ht="13.8">
      <c r="A135" s="9" t="s">
        <v>510</v>
      </c>
      <c r="B135" s="6" t="s">
        <v>1481</v>
      </c>
      <c r="C135" s="6" t="s">
        <v>1482</v>
      </c>
      <c r="D135" s="6" t="s">
        <v>1483</v>
      </c>
      <c r="E135" s="6" t="s">
        <v>1484</v>
      </c>
      <c r="F135" s="7" t="s">
        <v>1484</v>
      </c>
      <c r="G135" s="6" t="s">
        <v>1485</v>
      </c>
    </row>
    <row r="136" spans="1:7" ht="13.8">
      <c r="A136" s="9" t="s">
        <v>514</v>
      </c>
      <c r="B136" s="6" t="s">
        <v>1486</v>
      </c>
      <c r="C136" s="6" t="s">
        <v>1487</v>
      </c>
      <c r="D136" s="6" t="s">
        <v>1488</v>
      </c>
      <c r="E136" s="6" t="s">
        <v>1489</v>
      </c>
      <c r="F136" s="7" t="s">
        <v>1489</v>
      </c>
      <c r="G136" s="6" t="s">
        <v>1490</v>
      </c>
    </row>
    <row r="137" spans="1:7" ht="13.8">
      <c r="A137" s="9" t="s">
        <v>519</v>
      </c>
      <c r="B137" s="6" t="s">
        <v>1491</v>
      </c>
      <c r="C137" s="6" t="s">
        <v>1492</v>
      </c>
      <c r="D137" s="6" t="s">
        <v>1493</v>
      </c>
      <c r="E137" s="6" t="s">
        <v>1494</v>
      </c>
      <c r="F137" s="7" t="s">
        <v>1494</v>
      </c>
      <c r="G137" s="6" t="s">
        <v>1495</v>
      </c>
    </row>
    <row r="138" spans="1:7" ht="13.8">
      <c r="A138" s="9" t="s">
        <v>523</v>
      </c>
      <c r="B138" s="6" t="s">
        <v>1496</v>
      </c>
      <c r="C138" s="6" t="s">
        <v>1497</v>
      </c>
      <c r="D138" s="6" t="s">
        <v>1498</v>
      </c>
      <c r="E138" s="6" t="s">
        <v>1499</v>
      </c>
      <c r="F138" s="7" t="s">
        <v>1499</v>
      </c>
      <c r="G138" s="6" t="s">
        <v>1500</v>
      </c>
    </row>
    <row r="139" spans="1:7" ht="13.8">
      <c r="A139" s="9" t="s">
        <v>528</v>
      </c>
      <c r="B139" s="6" t="s">
        <v>1501</v>
      </c>
      <c r="C139" s="6" t="s">
        <v>1502</v>
      </c>
      <c r="D139" s="6" t="s">
        <v>1503</v>
      </c>
      <c r="E139" s="6" t="s">
        <v>1504</v>
      </c>
      <c r="F139" s="7" t="s">
        <v>1504</v>
      </c>
      <c r="G139" s="6" t="s">
        <v>1505</v>
      </c>
    </row>
    <row r="140" spans="1:7" ht="13.8">
      <c r="A140" s="9" t="s">
        <v>533</v>
      </c>
      <c r="B140" s="6" t="s">
        <v>1506</v>
      </c>
      <c r="C140" s="6" t="s">
        <v>1507</v>
      </c>
      <c r="D140" s="6" t="s">
        <v>1508</v>
      </c>
      <c r="E140" s="6" t="s">
        <v>1509</v>
      </c>
      <c r="F140" s="7" t="s">
        <v>1509</v>
      </c>
      <c r="G140" s="6" t="s">
        <v>1510</v>
      </c>
    </row>
    <row r="141" spans="1:7" ht="13.8">
      <c r="A141" s="9" t="s">
        <v>538</v>
      </c>
      <c r="B141" s="6" t="s">
        <v>1511</v>
      </c>
      <c r="C141" s="6" t="s">
        <v>1512</v>
      </c>
      <c r="D141" s="6" t="s">
        <v>1513</v>
      </c>
      <c r="E141" s="6" t="s">
        <v>1513</v>
      </c>
      <c r="F141" s="7" t="s">
        <v>1513</v>
      </c>
      <c r="G141" s="6" t="s">
        <v>1514</v>
      </c>
    </row>
    <row r="142" spans="1:7" ht="13.8">
      <c r="A142" s="9" t="s">
        <v>543</v>
      </c>
      <c r="B142" s="6" t="s">
        <v>1515</v>
      </c>
      <c r="C142" s="6" t="s">
        <v>1516</v>
      </c>
      <c r="D142" s="6" t="s">
        <v>1517</v>
      </c>
      <c r="E142" s="6" t="s">
        <v>1518</v>
      </c>
      <c r="F142" s="7" t="s">
        <v>1518</v>
      </c>
      <c r="G142" s="6" t="s">
        <v>1519</v>
      </c>
    </row>
    <row r="143" spans="1:7" ht="13.8">
      <c r="A143" s="9" t="s">
        <v>548</v>
      </c>
      <c r="B143" s="6" t="s">
        <v>1520</v>
      </c>
      <c r="C143" s="6" t="s">
        <v>1521</v>
      </c>
      <c r="D143" s="6" t="s">
        <v>1522</v>
      </c>
      <c r="E143" s="6" t="s">
        <v>1523</v>
      </c>
      <c r="F143" s="7" t="s">
        <v>1523</v>
      </c>
      <c r="G143" s="6" t="s">
        <v>1524</v>
      </c>
    </row>
    <row r="144" spans="1:7" ht="13.8">
      <c r="A144" s="9" t="s">
        <v>553</v>
      </c>
      <c r="B144" s="6" t="s">
        <v>1525</v>
      </c>
      <c r="C144" s="6" t="s">
        <v>1526</v>
      </c>
      <c r="D144" s="6" t="s">
        <v>1527</v>
      </c>
      <c r="E144" s="6" t="s">
        <v>1528</v>
      </c>
      <c r="F144" s="7" t="s">
        <v>1528</v>
      </c>
      <c r="G144" s="6" t="s">
        <v>1529</v>
      </c>
    </row>
    <row r="145" spans="1:7" ht="13.8">
      <c r="A145" s="9" t="s">
        <v>557</v>
      </c>
      <c r="B145" s="6" t="s">
        <v>1530</v>
      </c>
      <c r="C145" s="6" t="s">
        <v>1531</v>
      </c>
      <c r="D145" s="6" t="s">
        <v>1532</v>
      </c>
      <c r="E145" s="6" t="s">
        <v>1533</v>
      </c>
      <c r="F145" s="7" t="s">
        <v>1533</v>
      </c>
      <c r="G145" s="6" t="s">
        <v>1534</v>
      </c>
    </row>
    <row r="146" spans="1:7" ht="13.8">
      <c r="A146" s="9" t="s">
        <v>562</v>
      </c>
      <c r="B146" s="6" t="s">
        <v>1535</v>
      </c>
      <c r="C146" s="6" t="s">
        <v>1536</v>
      </c>
      <c r="D146" s="6" t="s">
        <v>1537</v>
      </c>
      <c r="E146" s="6" t="s">
        <v>1538</v>
      </c>
      <c r="F146" s="7" t="s">
        <v>1538</v>
      </c>
      <c r="G146" s="6" t="s">
        <v>1539</v>
      </c>
    </row>
    <row r="147" spans="1:7" ht="13.8">
      <c r="A147" s="9" t="s">
        <v>565</v>
      </c>
      <c r="B147" s="6" t="s">
        <v>1540</v>
      </c>
      <c r="C147" s="6" t="s">
        <v>1541</v>
      </c>
      <c r="D147" s="6" t="s">
        <v>1542</v>
      </c>
      <c r="E147" s="6" t="s">
        <v>1543</v>
      </c>
      <c r="F147" s="7" t="s">
        <v>1543</v>
      </c>
      <c r="G147" s="6" t="s">
        <v>1544</v>
      </c>
    </row>
    <row r="148" spans="1:7" ht="13.8">
      <c r="A148" s="9" t="s">
        <v>569</v>
      </c>
      <c r="B148" s="6" t="s">
        <v>1545</v>
      </c>
      <c r="C148" s="6" t="s">
        <v>1546</v>
      </c>
      <c r="D148" s="6" t="s">
        <v>1547</v>
      </c>
      <c r="E148" s="6" t="s">
        <v>1548</v>
      </c>
      <c r="F148" s="7" t="s">
        <v>1548</v>
      </c>
      <c r="G148" s="6" t="s">
        <v>1549</v>
      </c>
    </row>
    <row r="149" spans="1:7" ht="13.8">
      <c r="A149" s="9" t="s">
        <v>572</v>
      </c>
      <c r="B149" s="6" t="s">
        <v>1527</v>
      </c>
      <c r="C149" s="6" t="s">
        <v>1528</v>
      </c>
      <c r="D149" s="6" t="s">
        <v>1550</v>
      </c>
      <c r="E149" s="6" t="s">
        <v>1551</v>
      </c>
      <c r="F149" s="7" t="s">
        <v>1551</v>
      </c>
      <c r="G149" s="6" t="s">
        <v>1552</v>
      </c>
    </row>
    <row r="150" spans="1:7" ht="13.8">
      <c r="A150" s="9" t="s">
        <v>575</v>
      </c>
      <c r="B150" s="6" t="s">
        <v>1553</v>
      </c>
      <c r="C150" s="6" t="s">
        <v>1554</v>
      </c>
      <c r="D150" s="6" t="s">
        <v>1555</v>
      </c>
      <c r="E150" s="6" t="s">
        <v>1556</v>
      </c>
      <c r="F150" s="7" t="s">
        <v>1556</v>
      </c>
      <c r="G150" s="6" t="s">
        <v>1557</v>
      </c>
    </row>
    <row r="151" spans="1:7" ht="13.8">
      <c r="A151" s="9" t="s">
        <v>576</v>
      </c>
      <c r="B151" s="6" t="s">
        <v>1537</v>
      </c>
      <c r="C151" s="6" t="s">
        <v>1547</v>
      </c>
      <c r="D151" s="6" t="s">
        <v>1558</v>
      </c>
      <c r="E151" s="6" t="s">
        <v>1559</v>
      </c>
      <c r="F151" s="7" t="s">
        <v>1559</v>
      </c>
      <c r="G151" s="6" t="s">
        <v>1560</v>
      </c>
    </row>
    <row r="152" spans="1:7" ht="13.8">
      <c r="A152" s="9" t="s">
        <v>579</v>
      </c>
      <c r="B152" s="6" t="s">
        <v>1561</v>
      </c>
      <c r="C152" s="6" t="s">
        <v>1509</v>
      </c>
      <c r="D152" s="6" t="s">
        <v>1562</v>
      </c>
      <c r="E152" s="6" t="s">
        <v>1563</v>
      </c>
      <c r="F152" s="7" t="s">
        <v>1563</v>
      </c>
      <c r="G152" s="6" t="s">
        <v>1564</v>
      </c>
    </row>
    <row r="153" spans="1:7" ht="13.8">
      <c r="A153" s="9" t="s">
        <v>582</v>
      </c>
      <c r="B153" s="6" t="s">
        <v>1565</v>
      </c>
      <c r="C153" s="6" t="s">
        <v>1566</v>
      </c>
      <c r="D153" s="6" t="s">
        <v>1567</v>
      </c>
      <c r="E153" s="6" t="s">
        <v>1568</v>
      </c>
      <c r="F153" s="7" t="s">
        <v>1568</v>
      </c>
      <c r="G153" s="6" t="s">
        <v>1569</v>
      </c>
    </row>
    <row r="154" spans="1:7" ht="13.8">
      <c r="A154" s="9" t="s">
        <v>585</v>
      </c>
      <c r="B154" s="6" t="s">
        <v>1570</v>
      </c>
      <c r="C154" s="6" t="s">
        <v>1527</v>
      </c>
      <c r="D154" s="6" t="s">
        <v>1571</v>
      </c>
      <c r="E154" s="6" t="s">
        <v>1572</v>
      </c>
      <c r="F154" s="7" t="s">
        <v>1572</v>
      </c>
      <c r="G154" s="6" t="s">
        <v>1573</v>
      </c>
    </row>
    <row r="155" spans="1:7" ht="13.8">
      <c r="A155" s="9" t="s">
        <v>588</v>
      </c>
      <c r="B155" s="6" t="s">
        <v>1574</v>
      </c>
      <c r="C155" s="6" t="s">
        <v>1575</v>
      </c>
      <c r="D155" s="6" t="s">
        <v>1576</v>
      </c>
      <c r="E155" s="6" t="s">
        <v>1577</v>
      </c>
      <c r="F155" s="7" t="s">
        <v>1577</v>
      </c>
      <c r="G155" s="6" t="s">
        <v>1578</v>
      </c>
    </row>
    <row r="156" spans="1:7" ht="13.8">
      <c r="A156" s="9" t="s">
        <v>592</v>
      </c>
      <c r="B156" s="6" t="s">
        <v>1579</v>
      </c>
      <c r="C156" s="6" t="s">
        <v>1580</v>
      </c>
      <c r="D156" s="6" t="s">
        <v>1581</v>
      </c>
      <c r="E156" s="6" t="s">
        <v>1582</v>
      </c>
      <c r="F156" s="7" t="s">
        <v>1582</v>
      </c>
      <c r="G156" s="6" t="s">
        <v>1583</v>
      </c>
    </row>
    <row r="157" spans="1:7" ht="13.8">
      <c r="A157" s="9" t="s">
        <v>596</v>
      </c>
      <c r="B157" s="6" t="s">
        <v>1584</v>
      </c>
      <c r="C157" s="6" t="s">
        <v>1585</v>
      </c>
      <c r="D157" s="6" t="s">
        <v>1586</v>
      </c>
      <c r="E157" s="6" t="s">
        <v>1587</v>
      </c>
      <c r="F157" s="7" t="s">
        <v>1587</v>
      </c>
      <c r="G157" s="6" t="s">
        <v>1588</v>
      </c>
    </row>
    <row r="158" spans="1:7" ht="13.8">
      <c r="A158" s="9" t="s">
        <v>600</v>
      </c>
      <c r="B158" s="6" t="s">
        <v>1589</v>
      </c>
      <c r="C158" s="6" t="s">
        <v>1590</v>
      </c>
      <c r="D158" s="6" t="s">
        <v>1591</v>
      </c>
      <c r="E158" s="6" t="s">
        <v>1592</v>
      </c>
      <c r="F158" s="7" t="s">
        <v>1592</v>
      </c>
      <c r="G158" s="6" t="s">
        <v>1593</v>
      </c>
    </row>
    <row r="159" spans="1:7" ht="13.8">
      <c r="A159" s="9" t="s">
        <v>605</v>
      </c>
      <c r="B159" s="6" t="s">
        <v>1594</v>
      </c>
      <c r="C159" s="6" t="s">
        <v>1595</v>
      </c>
      <c r="D159" s="6" t="s">
        <v>1596</v>
      </c>
      <c r="E159" s="6" t="s">
        <v>1597</v>
      </c>
      <c r="F159" s="7" t="s">
        <v>1597</v>
      </c>
      <c r="G159" s="6" t="s">
        <v>1598</v>
      </c>
    </row>
    <row r="160" spans="1:7" ht="13.8">
      <c r="A160" s="9" t="s">
        <v>609</v>
      </c>
      <c r="B160" s="6" t="s">
        <v>1536</v>
      </c>
      <c r="C160" s="6" t="s">
        <v>1599</v>
      </c>
      <c r="D160" s="6" t="s">
        <v>1518</v>
      </c>
      <c r="E160" s="6" t="s">
        <v>1512</v>
      </c>
      <c r="F160" s="7" t="s">
        <v>1512</v>
      </c>
      <c r="G160" s="6" t="s">
        <v>1600</v>
      </c>
    </row>
    <row r="161" spans="1:7" ht="13.8">
      <c r="A161" s="9" t="s">
        <v>613</v>
      </c>
      <c r="B161" s="6" t="s">
        <v>1601</v>
      </c>
      <c r="C161" s="6" t="s">
        <v>1602</v>
      </c>
      <c r="D161" s="6" t="s">
        <v>1603</v>
      </c>
      <c r="E161" s="6" t="s">
        <v>1604</v>
      </c>
      <c r="F161" s="7" t="s">
        <v>1604</v>
      </c>
      <c r="G161" s="6" t="s">
        <v>1605</v>
      </c>
    </row>
    <row r="162" spans="1:7" ht="13.8">
      <c r="A162" s="9" t="s">
        <v>617</v>
      </c>
      <c r="B162" s="6" t="s">
        <v>1606</v>
      </c>
      <c r="C162" s="6" t="s">
        <v>1607</v>
      </c>
      <c r="D162" s="6" t="s">
        <v>1608</v>
      </c>
      <c r="E162" s="6" t="s">
        <v>1609</v>
      </c>
      <c r="F162" s="7" t="s">
        <v>1609</v>
      </c>
      <c r="G162" s="6" t="s">
        <v>1610</v>
      </c>
    </row>
    <row r="163" spans="1:7" ht="13.8">
      <c r="A163" s="9" t="s">
        <v>620</v>
      </c>
      <c r="B163" s="6" t="s">
        <v>1611</v>
      </c>
      <c r="C163" s="6" t="s">
        <v>1612</v>
      </c>
      <c r="D163" s="6" t="s">
        <v>1613</v>
      </c>
      <c r="E163" s="6" t="s">
        <v>1614</v>
      </c>
      <c r="F163" s="7" t="s">
        <v>1614</v>
      </c>
      <c r="G163" s="6" t="s">
        <v>1615</v>
      </c>
    </row>
    <row r="164" spans="1:7" ht="13.8">
      <c r="A164" s="9" t="s">
        <v>624</v>
      </c>
      <c r="B164" s="6" t="s">
        <v>1616</v>
      </c>
      <c r="C164" s="6" t="s">
        <v>1617</v>
      </c>
      <c r="D164" s="6" t="s">
        <v>1618</v>
      </c>
      <c r="E164" s="6" t="s">
        <v>1619</v>
      </c>
      <c r="F164" s="7" t="s">
        <v>1619</v>
      </c>
      <c r="G164" s="6" t="s">
        <v>1620</v>
      </c>
    </row>
    <row r="165" spans="1:7" ht="13.8">
      <c r="A165" s="9" t="s">
        <v>626</v>
      </c>
      <c r="B165" s="6" t="s">
        <v>1621</v>
      </c>
      <c r="C165" s="6" t="s">
        <v>1622</v>
      </c>
      <c r="D165" s="6" t="s">
        <v>1623</v>
      </c>
      <c r="E165" s="6" t="s">
        <v>1624</v>
      </c>
      <c r="F165" s="7" t="s">
        <v>1624</v>
      </c>
      <c r="G165" s="6" t="s">
        <v>1625</v>
      </c>
    </row>
    <row r="166" spans="1:7" ht="13.8">
      <c r="A166" s="9" t="s">
        <v>629</v>
      </c>
      <c r="B166" s="6" t="s">
        <v>1626</v>
      </c>
      <c r="C166" s="6" t="s">
        <v>1627</v>
      </c>
      <c r="D166" s="6" t="s">
        <v>1628</v>
      </c>
      <c r="E166" s="6" t="s">
        <v>1629</v>
      </c>
      <c r="F166" s="7" t="s">
        <v>1629</v>
      </c>
      <c r="G166" s="6" t="s">
        <v>1630</v>
      </c>
    </row>
    <row r="167" spans="1:7" ht="13.8">
      <c r="A167" s="9" t="s">
        <v>631</v>
      </c>
      <c r="B167" s="6" t="s">
        <v>1631</v>
      </c>
      <c r="C167" s="6" t="s">
        <v>1632</v>
      </c>
      <c r="D167" s="6" t="s">
        <v>1633</v>
      </c>
      <c r="E167" s="6" t="s">
        <v>1634</v>
      </c>
      <c r="F167" s="7" t="s">
        <v>1634</v>
      </c>
      <c r="G167" s="6" t="s">
        <v>1635</v>
      </c>
    </row>
    <row r="168" spans="1:7" ht="13.8">
      <c r="A168" s="9" t="s">
        <v>634</v>
      </c>
      <c r="B168" s="6" t="s">
        <v>1636</v>
      </c>
      <c r="C168" s="6" t="s">
        <v>1637</v>
      </c>
      <c r="D168" s="6" t="s">
        <v>1638</v>
      </c>
      <c r="E168" s="6" t="s">
        <v>1639</v>
      </c>
      <c r="F168" s="7" t="s">
        <v>1639</v>
      </c>
      <c r="G168" s="6" t="s">
        <v>1640</v>
      </c>
    </row>
    <row r="169" spans="1:7" ht="13.8">
      <c r="A169" s="9" t="s">
        <v>638</v>
      </c>
      <c r="B169" s="6" t="s">
        <v>1641</v>
      </c>
      <c r="C169" s="6" t="s">
        <v>1642</v>
      </c>
      <c r="D169" s="6" t="s">
        <v>1643</v>
      </c>
      <c r="E169" s="6" t="s">
        <v>1644</v>
      </c>
      <c r="F169" s="7" t="s">
        <v>1644</v>
      </c>
      <c r="G169" s="6" t="s">
        <v>1645</v>
      </c>
    </row>
    <row r="170" spans="1:7" ht="13.8">
      <c r="A170" s="9" t="s">
        <v>642</v>
      </c>
      <c r="B170" s="6" t="s">
        <v>1646</v>
      </c>
      <c r="C170" s="6" t="s">
        <v>1647</v>
      </c>
      <c r="D170" s="6" t="s">
        <v>1648</v>
      </c>
      <c r="E170" s="6" t="s">
        <v>1649</v>
      </c>
      <c r="F170" s="7" t="s">
        <v>1649</v>
      </c>
      <c r="G170" s="6" t="s">
        <v>1650</v>
      </c>
    </row>
    <row r="171" spans="1:7" ht="13.8">
      <c r="A171" s="9" t="s">
        <v>646</v>
      </c>
      <c r="B171" s="6" t="s">
        <v>1651</v>
      </c>
      <c r="C171" s="6" t="s">
        <v>1652</v>
      </c>
      <c r="D171" s="6" t="s">
        <v>1653</v>
      </c>
      <c r="E171" s="6" t="s">
        <v>1654</v>
      </c>
      <c r="F171" s="7" t="s">
        <v>1654</v>
      </c>
      <c r="G171" s="6" t="s">
        <v>1655</v>
      </c>
    </row>
    <row r="172" spans="1:7" ht="13.8">
      <c r="A172" s="9" t="s">
        <v>649</v>
      </c>
      <c r="B172" s="6" t="s">
        <v>1656</v>
      </c>
      <c r="C172" s="6" t="s">
        <v>1657</v>
      </c>
      <c r="D172" s="6" t="s">
        <v>1658</v>
      </c>
      <c r="E172" s="6" t="s">
        <v>1659</v>
      </c>
      <c r="F172" s="7" t="s">
        <v>1659</v>
      </c>
      <c r="G172" s="6" t="s">
        <v>1660</v>
      </c>
    </row>
    <row r="173" spans="1:7" ht="13.8">
      <c r="A173" s="9" t="s">
        <v>652</v>
      </c>
      <c r="B173" s="6" t="s">
        <v>1661</v>
      </c>
      <c r="C173" s="6" t="s">
        <v>1662</v>
      </c>
      <c r="D173" s="6" t="s">
        <v>1663</v>
      </c>
      <c r="E173" s="6" t="s">
        <v>1664</v>
      </c>
      <c r="F173" s="7" t="s">
        <v>1664</v>
      </c>
      <c r="G173" s="6" t="s">
        <v>1665</v>
      </c>
    </row>
    <row r="174" spans="1:7" ht="13.8">
      <c r="A174" s="9" t="s">
        <v>657</v>
      </c>
      <c r="B174" s="6" t="s">
        <v>1666</v>
      </c>
      <c r="C174" s="6" t="s">
        <v>1667</v>
      </c>
      <c r="D174" s="6" t="s">
        <v>1668</v>
      </c>
      <c r="E174" s="6" t="s">
        <v>1669</v>
      </c>
      <c r="F174" s="7" t="s">
        <v>1669</v>
      </c>
      <c r="G174" s="6" t="s">
        <v>1670</v>
      </c>
    </row>
    <row r="175" spans="1:7" ht="13.8">
      <c r="A175" s="9" t="s">
        <v>661</v>
      </c>
      <c r="B175" s="6" t="s">
        <v>1671</v>
      </c>
      <c r="C175" s="6" t="s">
        <v>1672</v>
      </c>
      <c r="D175" s="6" t="s">
        <v>1673</v>
      </c>
      <c r="E175" s="6" t="s">
        <v>1674</v>
      </c>
      <c r="F175" s="7" t="s">
        <v>1674</v>
      </c>
      <c r="G175" s="6" t="s">
        <v>1675</v>
      </c>
    </row>
    <row r="176" spans="1:7" ht="13.8">
      <c r="A176" s="9" t="s">
        <v>664</v>
      </c>
      <c r="B176" s="6" t="s">
        <v>1676</v>
      </c>
      <c r="C176" s="6" t="s">
        <v>1677</v>
      </c>
      <c r="D176" s="6" t="s">
        <v>1678</v>
      </c>
      <c r="E176" s="6" t="s">
        <v>1679</v>
      </c>
      <c r="F176" s="7" t="s">
        <v>1679</v>
      </c>
      <c r="G176" s="6" t="s">
        <v>1680</v>
      </c>
    </row>
    <row r="177" spans="1:7" ht="13.8">
      <c r="A177" s="9" t="s">
        <v>666</v>
      </c>
      <c r="B177" s="6" t="s">
        <v>1681</v>
      </c>
      <c r="C177" s="6" t="s">
        <v>1621</v>
      </c>
      <c r="D177" s="6" t="s">
        <v>1682</v>
      </c>
      <c r="E177" s="6" t="s">
        <v>1683</v>
      </c>
      <c r="F177" s="7" t="s">
        <v>1683</v>
      </c>
      <c r="G177" s="6" t="s">
        <v>1684</v>
      </c>
    </row>
    <row r="178" spans="1:7" ht="13.8">
      <c r="A178" s="9" t="s">
        <v>668</v>
      </c>
      <c r="B178" s="6" t="s">
        <v>1685</v>
      </c>
      <c r="C178" s="6" t="s">
        <v>1686</v>
      </c>
      <c r="D178" s="6" t="s">
        <v>1687</v>
      </c>
      <c r="E178" s="6" t="s">
        <v>1688</v>
      </c>
      <c r="F178" s="7" t="s">
        <v>1688</v>
      </c>
      <c r="G178" s="6" t="s">
        <v>1689</v>
      </c>
    </row>
    <row r="179" spans="1:7" ht="13.8">
      <c r="A179" s="9" t="s">
        <v>670</v>
      </c>
      <c r="B179" s="6" t="s">
        <v>1690</v>
      </c>
      <c r="C179" s="6" t="s">
        <v>1691</v>
      </c>
      <c r="D179" s="6" t="s">
        <v>1692</v>
      </c>
      <c r="E179" s="6" t="s">
        <v>1693</v>
      </c>
      <c r="F179" s="7" t="s">
        <v>1693</v>
      </c>
      <c r="G179" s="6" t="s">
        <v>1694</v>
      </c>
    </row>
    <row r="180" spans="1:7" ht="13.8">
      <c r="A180" s="9" t="s">
        <v>673</v>
      </c>
      <c r="B180" s="6" t="s">
        <v>1695</v>
      </c>
      <c r="C180" s="6" t="s">
        <v>1696</v>
      </c>
      <c r="D180" s="6" t="s">
        <v>1697</v>
      </c>
      <c r="E180" s="6" t="s">
        <v>1698</v>
      </c>
      <c r="F180" s="7" t="s">
        <v>1698</v>
      </c>
      <c r="G180" s="6" t="s">
        <v>1699</v>
      </c>
    </row>
    <row r="181" spans="1:7" ht="13.8">
      <c r="A181" s="9" t="s">
        <v>675</v>
      </c>
      <c r="B181" s="6" t="s">
        <v>1700</v>
      </c>
      <c r="C181" s="6" t="s">
        <v>1701</v>
      </c>
      <c r="D181" s="6" t="s">
        <v>1702</v>
      </c>
      <c r="E181" s="6" t="s">
        <v>1701</v>
      </c>
      <c r="F181" s="7" t="s">
        <v>1701</v>
      </c>
      <c r="G181" s="6" t="s">
        <v>1703</v>
      </c>
    </row>
    <row r="182" spans="1:7" ht="13.8">
      <c r="A182" s="9" t="s">
        <v>677</v>
      </c>
      <c r="B182" s="6" t="s">
        <v>1704</v>
      </c>
      <c r="C182" s="6" t="s">
        <v>1705</v>
      </c>
      <c r="D182" s="6" t="s">
        <v>1706</v>
      </c>
      <c r="E182" s="6" t="s">
        <v>1707</v>
      </c>
      <c r="F182" s="7" t="s">
        <v>1707</v>
      </c>
      <c r="G182" s="6" t="s">
        <v>1708</v>
      </c>
    </row>
    <row r="183" spans="1:7" ht="13.8">
      <c r="A183" s="9" t="s">
        <v>680</v>
      </c>
      <c r="B183" s="6" t="s">
        <v>1709</v>
      </c>
      <c r="C183" s="6" t="s">
        <v>1710</v>
      </c>
      <c r="D183" s="6" t="s">
        <v>1711</v>
      </c>
      <c r="E183" s="6" t="s">
        <v>1677</v>
      </c>
      <c r="F183" s="7" t="s">
        <v>1677</v>
      </c>
      <c r="G183" s="6" t="s">
        <v>1712</v>
      </c>
    </row>
    <row r="184" spans="1:7" ht="13.8">
      <c r="A184" s="9" t="s">
        <v>684</v>
      </c>
      <c r="B184" s="6" t="s">
        <v>1713</v>
      </c>
      <c r="C184" s="6" t="s">
        <v>1714</v>
      </c>
      <c r="D184" s="6" t="s">
        <v>1715</v>
      </c>
      <c r="E184" s="6" t="s">
        <v>1715</v>
      </c>
      <c r="F184" s="7" t="s">
        <v>1715</v>
      </c>
      <c r="G184" s="6" t="s">
        <v>1716</v>
      </c>
    </row>
    <row r="185" spans="1:7" ht="13.8">
      <c r="A185" s="9" t="s">
        <v>689</v>
      </c>
      <c r="B185" s="6" t="s">
        <v>1717</v>
      </c>
      <c r="C185" s="6" t="s">
        <v>1718</v>
      </c>
      <c r="D185" s="6" t="s">
        <v>1719</v>
      </c>
      <c r="E185" s="6" t="s">
        <v>1720</v>
      </c>
      <c r="F185" s="7" t="s">
        <v>1720</v>
      </c>
      <c r="G185" s="6" t="s">
        <v>1721</v>
      </c>
    </row>
    <row r="186" spans="1:7" ht="13.8">
      <c r="A186" s="9" t="s">
        <v>693</v>
      </c>
      <c r="B186" s="6" t="s">
        <v>1722</v>
      </c>
      <c r="C186" s="6" t="s">
        <v>1723</v>
      </c>
      <c r="D186" s="6" t="s">
        <v>1724</v>
      </c>
      <c r="E186" s="6" t="s">
        <v>1725</v>
      </c>
      <c r="F186" s="7" t="s">
        <v>1725</v>
      </c>
      <c r="G186" s="6" t="s">
        <v>1726</v>
      </c>
    </row>
    <row r="187" spans="1:7" ht="13.8">
      <c r="A187" s="9" t="s">
        <v>696</v>
      </c>
      <c r="B187" s="6" t="s">
        <v>1571</v>
      </c>
      <c r="C187" s="6" t="s">
        <v>1727</v>
      </c>
      <c r="D187" s="6" t="s">
        <v>1728</v>
      </c>
      <c r="E187" s="6" t="s">
        <v>1729</v>
      </c>
      <c r="F187" s="7" t="s">
        <v>1729</v>
      </c>
      <c r="G187" s="6" t="s">
        <v>1730</v>
      </c>
    </row>
    <row r="188" spans="1:7" ht="13.8">
      <c r="A188" s="9" t="s">
        <v>698</v>
      </c>
      <c r="B188" s="6" t="s">
        <v>1731</v>
      </c>
      <c r="C188" s="6" t="s">
        <v>1732</v>
      </c>
      <c r="D188" s="6" t="s">
        <v>1733</v>
      </c>
      <c r="E188" s="6" t="s">
        <v>1734</v>
      </c>
      <c r="F188" s="7" t="s">
        <v>1735</v>
      </c>
      <c r="G188" s="6" t="s">
        <v>1736</v>
      </c>
    </row>
    <row r="189" spans="1:7" ht="13.8">
      <c r="A189" s="9" t="s">
        <v>700</v>
      </c>
      <c r="B189" s="6" t="s">
        <v>1737</v>
      </c>
      <c r="C189" s="6" t="s">
        <v>1612</v>
      </c>
      <c r="D189" s="6" t="s">
        <v>1738</v>
      </c>
      <c r="E189" s="6" t="s">
        <v>1739</v>
      </c>
      <c r="F189" s="7" t="s">
        <v>1740</v>
      </c>
      <c r="G189" s="6" t="s">
        <v>1741</v>
      </c>
    </row>
    <row r="190" spans="1:7" ht="13.8">
      <c r="A190" s="9" t="s">
        <v>702</v>
      </c>
      <c r="B190" s="6" t="s">
        <v>1742</v>
      </c>
      <c r="C190" s="6" t="s">
        <v>1587</v>
      </c>
      <c r="D190" s="6" t="s">
        <v>1743</v>
      </c>
      <c r="E190" s="6" t="s">
        <v>1744</v>
      </c>
      <c r="F190" s="7" t="s">
        <v>1745</v>
      </c>
      <c r="G190" s="6" t="s">
        <v>1746</v>
      </c>
    </row>
    <row r="191" spans="1:7" ht="13.8">
      <c r="A191" s="9" t="s">
        <v>704</v>
      </c>
      <c r="B191" s="6" t="s">
        <v>1603</v>
      </c>
      <c r="C191" s="6" t="s">
        <v>1613</v>
      </c>
      <c r="D191" s="6" t="s">
        <v>1747</v>
      </c>
      <c r="E191" s="6" t="s">
        <v>1748</v>
      </c>
      <c r="F191" s="7" t="s">
        <v>1749</v>
      </c>
      <c r="G191" s="6" t="s">
        <v>1750</v>
      </c>
    </row>
    <row r="192" spans="1:7" ht="13.8">
      <c r="A192" s="9" t="s">
        <v>706</v>
      </c>
      <c r="B192" s="6" t="s">
        <v>1751</v>
      </c>
      <c r="C192" s="6" t="s">
        <v>1752</v>
      </c>
      <c r="D192" s="6" t="s">
        <v>1753</v>
      </c>
      <c r="E192" s="6" t="s">
        <v>1754</v>
      </c>
      <c r="F192" s="7" t="s">
        <v>1755</v>
      </c>
      <c r="G192" s="6" t="s">
        <v>1756</v>
      </c>
    </row>
    <row r="193" spans="1:7" ht="13.8">
      <c r="A193" s="9" t="s">
        <v>709</v>
      </c>
      <c r="B193" s="6" t="s">
        <v>1757</v>
      </c>
      <c r="C193" s="6" t="s">
        <v>1758</v>
      </c>
      <c r="D193" s="6" t="s">
        <v>1759</v>
      </c>
      <c r="E193" s="6" t="s">
        <v>1760</v>
      </c>
      <c r="F193" s="7" t="s">
        <v>1761</v>
      </c>
      <c r="G193" s="6" t="s">
        <v>1762</v>
      </c>
    </row>
    <row r="194" spans="1:7" ht="13.8">
      <c r="A194" s="9" t="s">
        <v>713</v>
      </c>
      <c r="B194" s="6" t="s">
        <v>1763</v>
      </c>
      <c r="C194" s="6" t="s">
        <v>1764</v>
      </c>
      <c r="D194" s="6" t="s">
        <v>1765</v>
      </c>
      <c r="E194" s="6" t="s">
        <v>1766</v>
      </c>
      <c r="F194" s="7" t="s">
        <v>1767</v>
      </c>
      <c r="G194" s="6" t="s">
        <v>1768</v>
      </c>
    </row>
    <row r="195" spans="1:7" ht="13.8">
      <c r="A195" s="9" t="s">
        <v>715</v>
      </c>
      <c r="B195" s="6" t="s">
        <v>1769</v>
      </c>
      <c r="C195" s="6" t="s">
        <v>1770</v>
      </c>
      <c r="D195" s="6" t="s">
        <v>1771</v>
      </c>
      <c r="E195" s="6" t="s">
        <v>1772</v>
      </c>
      <c r="F195" s="7" t="s">
        <v>1773</v>
      </c>
      <c r="G195" s="6" t="s">
        <v>1774</v>
      </c>
    </row>
    <row r="196" spans="1:7" ht="13.8">
      <c r="A196" s="9" t="s">
        <v>718</v>
      </c>
      <c r="B196" s="6" t="s">
        <v>1775</v>
      </c>
      <c r="C196" s="6" t="s">
        <v>1776</v>
      </c>
      <c r="D196" s="6" t="s">
        <v>1777</v>
      </c>
      <c r="E196" s="6" t="s">
        <v>1778</v>
      </c>
      <c r="F196" s="7" t="s">
        <v>1779</v>
      </c>
      <c r="G196" s="6" t="s">
        <v>1780</v>
      </c>
    </row>
    <row r="197" spans="1:7" ht="13.8">
      <c r="A197" s="9" t="s">
        <v>720</v>
      </c>
      <c r="B197" s="6" t="s">
        <v>1574</v>
      </c>
      <c r="C197" s="6" t="s">
        <v>1591</v>
      </c>
      <c r="D197" s="6" t="s">
        <v>1781</v>
      </c>
      <c r="E197" s="6" t="s">
        <v>1782</v>
      </c>
      <c r="F197" s="7" t="s">
        <v>1783</v>
      </c>
      <c r="G197" s="6" t="s">
        <v>1784</v>
      </c>
    </row>
    <row r="198" spans="1:7" ht="13.8">
      <c r="A198" s="9" t="s">
        <v>724</v>
      </c>
      <c r="B198" s="6" t="s">
        <v>1691</v>
      </c>
      <c r="C198" s="6" t="s">
        <v>1785</v>
      </c>
      <c r="D198" s="6" t="s">
        <v>1786</v>
      </c>
      <c r="E198" s="6" t="s">
        <v>1787</v>
      </c>
      <c r="F198" s="7" t="s">
        <v>1788</v>
      </c>
      <c r="G198" s="6" t="s">
        <v>1789</v>
      </c>
    </row>
    <row r="199" spans="1:7" ht="13.8">
      <c r="A199" s="9" t="s">
        <v>726</v>
      </c>
      <c r="B199" s="6" t="s">
        <v>1738</v>
      </c>
      <c r="C199" s="6" t="s">
        <v>1758</v>
      </c>
      <c r="D199" s="6" t="s">
        <v>1790</v>
      </c>
      <c r="E199" s="6" t="s">
        <v>1791</v>
      </c>
      <c r="F199" s="7" t="s">
        <v>1792</v>
      </c>
      <c r="G199" s="6" t="s">
        <v>1793</v>
      </c>
    </row>
    <row r="200" spans="1:7" ht="13.8">
      <c r="A200" s="9" t="s">
        <v>727</v>
      </c>
      <c r="B200" s="6" t="s">
        <v>1794</v>
      </c>
      <c r="C200" s="6" t="s">
        <v>1795</v>
      </c>
      <c r="D200" s="6" t="s">
        <v>1796</v>
      </c>
      <c r="E200" s="6" t="s">
        <v>1797</v>
      </c>
      <c r="F200" s="7" t="s">
        <v>1798</v>
      </c>
      <c r="G200" s="6" t="s">
        <v>1799</v>
      </c>
    </row>
    <row r="201" spans="1:7" ht="13.8">
      <c r="A201" s="9" t="s">
        <v>730</v>
      </c>
      <c r="B201" s="6" t="s">
        <v>1800</v>
      </c>
      <c r="C201" s="6" t="s">
        <v>1801</v>
      </c>
      <c r="D201" s="6" t="s">
        <v>1802</v>
      </c>
      <c r="E201" s="6" t="s">
        <v>1744</v>
      </c>
      <c r="F201" s="7" t="s">
        <v>1745</v>
      </c>
      <c r="G201" s="6" t="s">
        <v>1803</v>
      </c>
    </row>
    <row r="202" spans="1:7" ht="13.8">
      <c r="A202" s="9" t="s">
        <v>733</v>
      </c>
      <c r="B202" s="6" t="s">
        <v>1804</v>
      </c>
      <c r="C202" s="6" t="s">
        <v>1805</v>
      </c>
      <c r="D202" s="6" t="s">
        <v>1806</v>
      </c>
      <c r="E202" s="6" t="s">
        <v>1807</v>
      </c>
      <c r="F202" s="7" t="s">
        <v>1808</v>
      </c>
      <c r="G202" s="6" t="s">
        <v>1809</v>
      </c>
    </row>
    <row r="203" spans="1:7" ht="13.8">
      <c r="A203" s="9" t="s">
        <v>736</v>
      </c>
      <c r="B203" s="6" t="s">
        <v>1810</v>
      </c>
      <c r="C203" s="6" t="s">
        <v>1811</v>
      </c>
      <c r="D203" s="6" t="s">
        <v>1812</v>
      </c>
      <c r="E203" s="6" t="s">
        <v>1813</v>
      </c>
      <c r="F203" s="7" t="s">
        <v>1814</v>
      </c>
      <c r="G203" s="6" t="s">
        <v>1815</v>
      </c>
    </row>
    <row r="204" spans="1:7" ht="13.8">
      <c r="A204" s="9" t="s">
        <v>738</v>
      </c>
      <c r="B204" s="6" t="s">
        <v>1816</v>
      </c>
      <c r="C204" s="6" t="s">
        <v>1817</v>
      </c>
      <c r="D204" s="6" t="s">
        <v>1758</v>
      </c>
      <c r="E204" s="6" t="s">
        <v>1818</v>
      </c>
      <c r="F204" s="7" t="s">
        <v>1802</v>
      </c>
      <c r="G204" s="6" t="s">
        <v>1819</v>
      </c>
    </row>
    <row r="205" spans="1:7" ht="13.8">
      <c r="A205" s="9" t="s">
        <v>739</v>
      </c>
      <c r="B205" s="6" t="s">
        <v>1820</v>
      </c>
      <c r="C205" s="6" t="s">
        <v>1821</v>
      </c>
      <c r="D205" s="6" t="s">
        <v>1822</v>
      </c>
      <c r="E205" s="6" t="s">
        <v>1732</v>
      </c>
      <c r="F205" s="7" t="s">
        <v>1823</v>
      </c>
      <c r="G205" s="6" t="s">
        <v>1824</v>
      </c>
    </row>
    <row r="206" spans="1:7" ht="13.8">
      <c r="A206" s="9" t="s">
        <v>741</v>
      </c>
      <c r="B206" s="6" t="s">
        <v>1825</v>
      </c>
      <c r="C206" s="6" t="s">
        <v>1826</v>
      </c>
      <c r="D206" s="6" t="s">
        <v>1827</v>
      </c>
      <c r="E206" s="6" t="s">
        <v>1828</v>
      </c>
      <c r="F206" s="7" t="s">
        <v>1602</v>
      </c>
      <c r="G206" s="6" t="s">
        <v>1829</v>
      </c>
    </row>
    <row r="207" spans="1:7" ht="13.8">
      <c r="A207" s="9" t="s">
        <v>743</v>
      </c>
      <c r="B207" s="6" t="s">
        <v>1830</v>
      </c>
      <c r="C207" s="6" t="s">
        <v>1831</v>
      </c>
      <c r="D207" s="6" t="s">
        <v>1832</v>
      </c>
      <c r="E207" s="6" t="s">
        <v>1833</v>
      </c>
      <c r="F207" s="7" t="s">
        <v>1834</v>
      </c>
      <c r="G207" s="6" t="s">
        <v>1835</v>
      </c>
    </row>
    <row r="208" spans="1:7" ht="13.8">
      <c r="A208" s="9" t="s">
        <v>745</v>
      </c>
      <c r="B208" s="6" t="s">
        <v>1836</v>
      </c>
      <c r="C208" s="6" t="s">
        <v>1837</v>
      </c>
      <c r="D208" s="6" t="s">
        <v>1838</v>
      </c>
      <c r="E208" s="6" t="s">
        <v>1839</v>
      </c>
      <c r="F208" s="7" t="s">
        <v>1840</v>
      </c>
      <c r="G208" s="6" t="s">
        <v>1841</v>
      </c>
    </row>
    <row r="209" spans="1:7" ht="13.8">
      <c r="A209" s="9" t="s">
        <v>746</v>
      </c>
      <c r="B209" s="6" t="s">
        <v>1842</v>
      </c>
      <c r="C209" s="6" t="s">
        <v>1830</v>
      </c>
      <c r="D209" s="6" t="s">
        <v>1843</v>
      </c>
      <c r="E209" s="6" t="s">
        <v>1844</v>
      </c>
      <c r="F209" s="7" t="s">
        <v>868</v>
      </c>
      <c r="G209" s="6" t="s">
        <v>1845</v>
      </c>
    </row>
    <row r="210" spans="1:7" ht="13.8">
      <c r="A210" s="9" t="s">
        <v>748</v>
      </c>
      <c r="B210" s="6" t="s">
        <v>1846</v>
      </c>
      <c r="C210" s="6" t="s">
        <v>1847</v>
      </c>
      <c r="D210" s="6" t="s">
        <v>1848</v>
      </c>
      <c r="E210" s="6" t="s">
        <v>1849</v>
      </c>
      <c r="F210" s="7" t="s">
        <v>1850</v>
      </c>
      <c r="G210" s="6" t="s">
        <v>1851</v>
      </c>
    </row>
    <row r="211" spans="1:7" ht="13.8">
      <c r="A211" s="9" t="s">
        <v>750</v>
      </c>
      <c r="B211" s="6" t="s">
        <v>1852</v>
      </c>
      <c r="C211" s="6" t="s">
        <v>1853</v>
      </c>
      <c r="D211" s="6" t="s">
        <v>1854</v>
      </c>
      <c r="E211" s="6" t="s">
        <v>1855</v>
      </c>
      <c r="F211" s="7" t="s">
        <v>1856</v>
      </c>
      <c r="G211" s="6" t="s">
        <v>1857</v>
      </c>
    </row>
    <row r="212" spans="1:7" ht="13.8">
      <c r="A212" s="9" t="s">
        <v>752</v>
      </c>
      <c r="B212" s="6" t="s">
        <v>1858</v>
      </c>
      <c r="C212" s="6" t="s">
        <v>1859</v>
      </c>
      <c r="D212" s="6" t="s">
        <v>1860</v>
      </c>
      <c r="E212" s="6" t="s">
        <v>1861</v>
      </c>
      <c r="F212" s="7" t="s">
        <v>1862</v>
      </c>
      <c r="G212" s="6" t="s">
        <v>1863</v>
      </c>
    </row>
    <row r="213" spans="1:7" ht="13.8">
      <c r="A213" s="9" t="s">
        <v>753</v>
      </c>
      <c r="B213" s="6" t="s">
        <v>1864</v>
      </c>
      <c r="C213" s="6" t="s">
        <v>1865</v>
      </c>
      <c r="D213" s="6" t="s">
        <v>1866</v>
      </c>
      <c r="E213" s="6" t="s">
        <v>1867</v>
      </c>
      <c r="F213" s="7" t="s">
        <v>1868</v>
      </c>
      <c r="G213" s="6" t="s">
        <v>1869</v>
      </c>
    </row>
    <row r="214" spans="1:7" ht="13.8">
      <c r="A214" s="9" t="s">
        <v>754</v>
      </c>
      <c r="B214" s="6" t="s">
        <v>1870</v>
      </c>
      <c r="C214" s="6" t="s">
        <v>1871</v>
      </c>
      <c r="D214" s="6" t="s">
        <v>1872</v>
      </c>
      <c r="E214" s="6" t="s">
        <v>1873</v>
      </c>
      <c r="F214" s="7" t="s">
        <v>1874</v>
      </c>
      <c r="G214" s="6" t="s">
        <v>1875</v>
      </c>
    </row>
    <row r="215" spans="1:7" ht="13.8">
      <c r="A215" s="9" t="s">
        <v>756</v>
      </c>
      <c r="B215" s="6" t="s">
        <v>1487</v>
      </c>
      <c r="C215" s="6" t="s">
        <v>1876</v>
      </c>
      <c r="D215" s="6" t="s">
        <v>1877</v>
      </c>
      <c r="E215" s="6" t="s">
        <v>1878</v>
      </c>
      <c r="F215" s="7" t="s">
        <v>1879</v>
      </c>
      <c r="G215" s="6" t="s">
        <v>1880</v>
      </c>
    </row>
    <row r="216" spans="1:7" ht="13.8">
      <c r="A216" s="9" t="s">
        <v>759</v>
      </c>
      <c r="B216" s="6" t="s">
        <v>1589</v>
      </c>
      <c r="C216" s="6" t="s">
        <v>1881</v>
      </c>
      <c r="D216" s="6" t="s">
        <v>1582</v>
      </c>
      <c r="E216" s="6" t="s">
        <v>1882</v>
      </c>
      <c r="F216" s="7" t="s">
        <v>1883</v>
      </c>
      <c r="G216" s="6" t="s">
        <v>1884</v>
      </c>
    </row>
    <row r="217" spans="1:7" ht="13.8">
      <c r="A217" s="9" t="s">
        <v>762</v>
      </c>
      <c r="B217" s="6" t="s">
        <v>1885</v>
      </c>
      <c r="C217" s="6" t="s">
        <v>1886</v>
      </c>
      <c r="D217" s="6" t="s">
        <v>1887</v>
      </c>
      <c r="E217" s="6" t="s">
        <v>1888</v>
      </c>
      <c r="F217" s="7" t="s">
        <v>1889</v>
      </c>
      <c r="G217" s="6" t="s">
        <v>1890</v>
      </c>
    </row>
    <row r="218" spans="1:7" ht="13.8">
      <c r="A218" s="9" t="s">
        <v>763</v>
      </c>
      <c r="B218" s="6" t="s">
        <v>1891</v>
      </c>
      <c r="C218" s="6" t="s">
        <v>1738</v>
      </c>
      <c r="D218" s="6" t="s">
        <v>1892</v>
      </c>
      <c r="E218" s="6" t="s">
        <v>1553</v>
      </c>
      <c r="F218" s="7" t="s">
        <v>1718</v>
      </c>
      <c r="G218" s="6" t="s">
        <v>1893</v>
      </c>
    </row>
    <row r="219" spans="1:7" ht="13.8">
      <c r="A219" s="9" t="s">
        <v>764</v>
      </c>
      <c r="B219" s="6" t="s">
        <v>1894</v>
      </c>
      <c r="C219" s="6" t="s">
        <v>1895</v>
      </c>
      <c r="D219" s="6" t="s">
        <v>1896</v>
      </c>
      <c r="E219" s="6" t="s">
        <v>1566</v>
      </c>
      <c r="F219" s="7" t="s">
        <v>1897</v>
      </c>
      <c r="G219" s="6" t="s">
        <v>1898</v>
      </c>
    </row>
    <row r="220" spans="1:7" ht="13.8">
      <c r="A220" s="9" t="s">
        <v>765</v>
      </c>
      <c r="B220" s="6" t="s">
        <v>1899</v>
      </c>
      <c r="C220" s="6" t="s">
        <v>1900</v>
      </c>
      <c r="D220" s="6" t="s">
        <v>1901</v>
      </c>
      <c r="E220" s="6" t="s">
        <v>1498</v>
      </c>
      <c r="F220" s="7" t="s">
        <v>1902</v>
      </c>
      <c r="G220" s="6" t="s">
        <v>1903</v>
      </c>
    </row>
    <row r="221" spans="1:7" ht="13.8">
      <c r="A221" s="9" t="s">
        <v>767</v>
      </c>
      <c r="B221" s="6" t="s">
        <v>1904</v>
      </c>
      <c r="C221" s="6" t="s">
        <v>1591</v>
      </c>
      <c r="D221" s="6" t="s">
        <v>1905</v>
      </c>
      <c r="E221" s="6" t="s">
        <v>1906</v>
      </c>
      <c r="F221" s="7" t="s">
        <v>1907</v>
      </c>
      <c r="G221" s="6" t="s">
        <v>1908</v>
      </c>
    </row>
    <row r="222" spans="1:7" ht="13.8">
      <c r="A222" s="9" t="s">
        <v>770</v>
      </c>
      <c r="B222" s="6" t="s">
        <v>1575</v>
      </c>
      <c r="C222" s="6" t="s">
        <v>1909</v>
      </c>
      <c r="D222" s="6" t="s">
        <v>1910</v>
      </c>
      <c r="E222" s="6" t="s">
        <v>1911</v>
      </c>
      <c r="F222" s="7" t="s">
        <v>1912</v>
      </c>
      <c r="G222" s="6" t="s">
        <v>1913</v>
      </c>
    </row>
    <row r="223" spans="1:7" ht="13.8">
      <c r="A223" s="9" t="s">
        <v>773</v>
      </c>
      <c r="B223" s="6" t="s">
        <v>1914</v>
      </c>
      <c r="C223" s="6" t="s">
        <v>1915</v>
      </c>
      <c r="D223" s="6" t="s">
        <v>1707</v>
      </c>
      <c r="E223" s="6" t="s">
        <v>1916</v>
      </c>
      <c r="F223" s="7" t="s">
        <v>1917</v>
      </c>
      <c r="G223" s="6" t="s">
        <v>1918</v>
      </c>
    </row>
    <row r="224" spans="1:7" ht="13.8">
      <c r="A224" s="9" t="s">
        <v>776</v>
      </c>
      <c r="B224" s="6" t="s">
        <v>1919</v>
      </c>
      <c r="C224" s="6" t="s">
        <v>1920</v>
      </c>
      <c r="D224" s="6" t="s">
        <v>1921</v>
      </c>
      <c r="E224" s="6" t="s">
        <v>1922</v>
      </c>
      <c r="F224" s="7" t="s">
        <v>1923</v>
      </c>
      <c r="G224" s="6" t="s">
        <v>1924</v>
      </c>
    </row>
    <row r="225" spans="1:7" ht="13.8">
      <c r="A225" s="9" t="s">
        <v>779</v>
      </c>
      <c r="B225" s="6" t="s">
        <v>1925</v>
      </c>
      <c r="C225" s="6" t="s">
        <v>1926</v>
      </c>
      <c r="D225" s="6" t="s">
        <v>1927</v>
      </c>
      <c r="E225" s="6" t="s">
        <v>1928</v>
      </c>
      <c r="F225" s="7" t="s">
        <v>1929</v>
      </c>
      <c r="G225" s="6" t="s">
        <v>1930</v>
      </c>
    </row>
    <row r="226" spans="1:7" ht="13.8">
      <c r="A226" s="9" t="s">
        <v>780</v>
      </c>
      <c r="B226" s="6" t="s">
        <v>1931</v>
      </c>
      <c r="C226" s="6" t="s">
        <v>1932</v>
      </c>
      <c r="D226" s="6" t="s">
        <v>1933</v>
      </c>
      <c r="E226" s="6" t="s">
        <v>1934</v>
      </c>
      <c r="F226" s="7" t="s">
        <v>1935</v>
      </c>
      <c r="G226" s="6" t="s">
        <v>1936</v>
      </c>
    </row>
    <row r="227" spans="1:7" ht="13.8">
      <c r="A227" s="9" t="s">
        <v>783</v>
      </c>
      <c r="B227" s="6" t="s">
        <v>1937</v>
      </c>
      <c r="C227" s="6" t="s">
        <v>1938</v>
      </c>
      <c r="D227" s="6" t="s">
        <v>1939</v>
      </c>
      <c r="E227" s="6" t="s">
        <v>1940</v>
      </c>
      <c r="F227" s="7" t="s">
        <v>1941</v>
      </c>
      <c r="G227" s="6" t="s">
        <v>1942</v>
      </c>
    </row>
    <row r="228" spans="1:7" ht="13.8">
      <c r="A228" s="9" t="s">
        <v>787</v>
      </c>
      <c r="B228" s="6" t="s">
        <v>1943</v>
      </c>
      <c r="C228" s="6" t="s">
        <v>1944</v>
      </c>
      <c r="D228" s="6" t="s">
        <v>1945</v>
      </c>
      <c r="E228" s="6" t="s">
        <v>1674</v>
      </c>
      <c r="F228" s="7" t="s">
        <v>1946</v>
      </c>
      <c r="G228" s="6" t="s">
        <v>1947</v>
      </c>
    </row>
    <row r="229" spans="1:7" ht="13.8">
      <c r="A229" s="9" t="s">
        <v>790</v>
      </c>
      <c r="B229" s="6" t="s">
        <v>1948</v>
      </c>
      <c r="C229" s="6" t="s">
        <v>1949</v>
      </c>
      <c r="D229" s="6" t="s">
        <v>1950</v>
      </c>
      <c r="E229" s="6" t="s">
        <v>1951</v>
      </c>
      <c r="F229" s="7" t="s">
        <v>1658</v>
      </c>
      <c r="G229" s="6" t="s">
        <v>1952</v>
      </c>
    </row>
    <row r="230" spans="1:7" ht="13.8">
      <c r="A230" s="9" t="s">
        <v>794</v>
      </c>
      <c r="B230" s="6" t="s">
        <v>1953</v>
      </c>
      <c r="C230" s="6" t="s">
        <v>1954</v>
      </c>
      <c r="D230" s="6" t="s">
        <v>1955</v>
      </c>
      <c r="E230" s="6" t="s">
        <v>1956</v>
      </c>
      <c r="F230" s="7" t="s">
        <v>1957</v>
      </c>
      <c r="G230" s="6" t="s">
        <v>1958</v>
      </c>
    </row>
    <row r="231" spans="1:7" ht="13.8">
      <c r="A231" s="9" t="s">
        <v>797</v>
      </c>
      <c r="B231" s="6" t="s">
        <v>1959</v>
      </c>
      <c r="C231" s="6" t="s">
        <v>1960</v>
      </c>
      <c r="D231" s="6" t="s">
        <v>1961</v>
      </c>
      <c r="E231" s="6" t="s">
        <v>1948</v>
      </c>
      <c r="F231" s="7" t="s">
        <v>1962</v>
      </c>
      <c r="G231" s="6" t="s">
        <v>1963</v>
      </c>
    </row>
    <row r="232" spans="1:7" ht="13.8">
      <c r="A232" s="9" t="s">
        <v>800</v>
      </c>
      <c r="B232" s="6" t="s">
        <v>1964</v>
      </c>
      <c r="C232" s="6" t="s">
        <v>1965</v>
      </c>
      <c r="D232" s="6" t="s">
        <v>1966</v>
      </c>
      <c r="E232" s="6" t="s">
        <v>1967</v>
      </c>
      <c r="F232" s="7" t="s">
        <v>1968</v>
      </c>
      <c r="G232" s="6" t="s">
        <v>1969</v>
      </c>
    </row>
    <row r="233" spans="1:7" ht="13.8">
      <c r="A233" s="9" t="s">
        <v>804</v>
      </c>
      <c r="B233" s="6" t="s">
        <v>1970</v>
      </c>
      <c r="C233" s="6" t="s">
        <v>1971</v>
      </c>
      <c r="D233" s="6" t="s">
        <v>1972</v>
      </c>
      <c r="E233" s="6" t="s">
        <v>1973</v>
      </c>
      <c r="F233" s="7" t="s">
        <v>1974</v>
      </c>
      <c r="G233" s="6" t="s">
        <v>1975</v>
      </c>
    </row>
    <row r="234" spans="1:7" ht="13.8">
      <c r="A234" s="9" t="s">
        <v>808</v>
      </c>
      <c r="B234" s="6" t="s">
        <v>1976</v>
      </c>
      <c r="C234" s="6" t="s">
        <v>1977</v>
      </c>
      <c r="D234" s="6" t="s">
        <v>1978</v>
      </c>
      <c r="E234" s="6" t="s">
        <v>1979</v>
      </c>
      <c r="F234" s="7" t="s">
        <v>1980</v>
      </c>
      <c r="G234" s="6" t="s">
        <v>1981</v>
      </c>
    </row>
    <row r="235" spans="1:7" ht="13.8">
      <c r="A235" s="9" t="s">
        <v>810</v>
      </c>
      <c r="B235" s="6" t="s">
        <v>1982</v>
      </c>
      <c r="C235" s="6" t="s">
        <v>1983</v>
      </c>
      <c r="D235" s="6" t="s">
        <v>1984</v>
      </c>
      <c r="E235" s="6" t="s">
        <v>1985</v>
      </c>
      <c r="F235" s="7" t="s">
        <v>1986</v>
      </c>
      <c r="G235" s="6" t="s">
        <v>1987</v>
      </c>
    </row>
    <row r="236" spans="1:7" ht="13.8">
      <c r="A236" s="9" t="s">
        <v>812</v>
      </c>
      <c r="B236" s="6" t="s">
        <v>1988</v>
      </c>
      <c r="C236" s="6" t="s">
        <v>1989</v>
      </c>
      <c r="D236" s="6" t="s">
        <v>1990</v>
      </c>
      <c r="E236" s="6" t="s">
        <v>1991</v>
      </c>
      <c r="F236" s="7" t="s">
        <v>1992</v>
      </c>
      <c r="G236" s="6" t="s">
        <v>1993</v>
      </c>
    </row>
    <row r="237" spans="1:7" ht="13.8">
      <c r="A237" s="9" t="s">
        <v>813</v>
      </c>
      <c r="B237" s="6" t="s">
        <v>1994</v>
      </c>
      <c r="C237" s="6" t="s">
        <v>1995</v>
      </c>
      <c r="D237" s="6" t="s">
        <v>1996</v>
      </c>
      <c r="E237" s="6" t="s">
        <v>1454</v>
      </c>
      <c r="F237" s="7" t="s">
        <v>1997</v>
      </c>
      <c r="G237" s="6" t="s">
        <v>1998</v>
      </c>
    </row>
    <row r="238" spans="1:7" ht="13.8">
      <c r="A238" s="9" t="s">
        <v>814</v>
      </c>
      <c r="B238" s="6" t="s">
        <v>1999</v>
      </c>
      <c r="C238" s="6" t="s">
        <v>2000</v>
      </c>
      <c r="D238" s="6" t="s">
        <v>2001</v>
      </c>
      <c r="E238" s="6" t="s">
        <v>2002</v>
      </c>
      <c r="F238" s="7" t="s">
        <v>1999</v>
      </c>
      <c r="G238" s="6" t="s">
        <v>2003</v>
      </c>
    </row>
    <row r="239" spans="1:7" ht="13.8">
      <c r="A239" s="9" t="s">
        <v>818</v>
      </c>
      <c r="B239" s="6" t="s">
        <v>2004</v>
      </c>
      <c r="C239" s="6" t="s">
        <v>2005</v>
      </c>
      <c r="D239" s="6" t="s">
        <v>2006</v>
      </c>
      <c r="E239" s="6" t="s">
        <v>861</v>
      </c>
      <c r="F239" s="7" t="s">
        <v>2007</v>
      </c>
      <c r="G239" s="6" t="s">
        <v>2008</v>
      </c>
    </row>
    <row r="240" spans="1:7" ht="13.8">
      <c r="A240" s="9" t="s">
        <v>819</v>
      </c>
      <c r="B240" s="6" t="s">
        <v>2009</v>
      </c>
      <c r="C240" s="6" t="s">
        <v>2010</v>
      </c>
      <c r="D240" s="6" t="s">
        <v>2011</v>
      </c>
      <c r="E240" s="6" t="s">
        <v>2012</v>
      </c>
      <c r="F240" s="7" t="s">
        <v>2013</v>
      </c>
      <c r="G240" s="6" t="s">
        <v>2014</v>
      </c>
    </row>
    <row r="241" spans="1:7" ht="13.8">
      <c r="A241" s="9" t="s">
        <v>822</v>
      </c>
      <c r="B241" s="6" t="s">
        <v>2015</v>
      </c>
      <c r="C241" s="6" t="s">
        <v>2016</v>
      </c>
      <c r="D241" s="6" t="s">
        <v>2017</v>
      </c>
      <c r="E241" s="6" t="s">
        <v>2018</v>
      </c>
      <c r="F241" s="7" t="s">
        <v>2019</v>
      </c>
      <c r="G241" s="6" t="s">
        <v>2020</v>
      </c>
    </row>
    <row r="242" spans="1:7" ht="13.8">
      <c r="A242" s="9" t="s">
        <v>824</v>
      </c>
      <c r="B242" s="6" t="s">
        <v>2021</v>
      </c>
      <c r="C242" s="6" t="s">
        <v>2022</v>
      </c>
      <c r="D242" s="6" t="s">
        <v>2023</v>
      </c>
      <c r="E242" s="6" t="s">
        <v>1994</v>
      </c>
      <c r="F242" s="7" t="s">
        <v>2024</v>
      </c>
      <c r="G242" s="6" t="s">
        <v>2025</v>
      </c>
    </row>
    <row r="243" spans="1:7" ht="13.8">
      <c r="A243" s="9" t="s">
        <v>827</v>
      </c>
      <c r="B243" s="6" t="s">
        <v>2026</v>
      </c>
      <c r="C243" s="6" t="s">
        <v>2027</v>
      </c>
      <c r="D243" s="6" t="s">
        <v>2028</v>
      </c>
      <c r="E243" s="6" t="s">
        <v>2029</v>
      </c>
      <c r="F243" s="7" t="s">
        <v>2018</v>
      </c>
      <c r="G243" s="6" t="s">
        <v>2030</v>
      </c>
    </row>
    <row r="244" spans="1:7" ht="13.8">
      <c r="A244" s="9" t="s">
        <v>829</v>
      </c>
      <c r="B244" s="6" t="s">
        <v>2031</v>
      </c>
      <c r="C244" s="6" t="s">
        <v>2032</v>
      </c>
      <c r="D244" s="6" t="s">
        <v>2033</v>
      </c>
      <c r="E244" s="6" t="s">
        <v>2034</v>
      </c>
      <c r="F244" s="7" t="s">
        <v>2035</v>
      </c>
      <c r="G244" s="6" t="s">
        <v>2036</v>
      </c>
    </row>
    <row r="245" spans="1:7" ht="13.8">
      <c r="A245" s="9" t="s">
        <v>832</v>
      </c>
      <c r="B245" s="6" t="s">
        <v>2037</v>
      </c>
      <c r="C245" s="6" t="s">
        <v>2038</v>
      </c>
      <c r="D245" s="6" t="s">
        <v>2039</v>
      </c>
      <c r="E245" s="6" t="s">
        <v>2040</v>
      </c>
      <c r="F245" s="7" t="s">
        <v>2041</v>
      </c>
      <c r="G245" s="6" t="s">
        <v>2042</v>
      </c>
    </row>
    <row r="246" spans="1:7" ht="13.8">
      <c r="A246" s="9" t="s">
        <v>834</v>
      </c>
      <c r="B246" s="6" t="s">
        <v>2043</v>
      </c>
      <c r="C246" s="6" t="s">
        <v>2044</v>
      </c>
      <c r="D246" s="6" t="s">
        <v>2045</v>
      </c>
      <c r="E246" s="6" t="s">
        <v>2046</v>
      </c>
      <c r="F246" s="7" t="s">
        <v>2047</v>
      </c>
      <c r="G246" s="6" t="s">
        <v>2048</v>
      </c>
    </row>
    <row r="247" spans="1:7" ht="13.8">
      <c r="A247" s="9" t="s">
        <v>835</v>
      </c>
      <c r="B247" s="6" t="s">
        <v>2049</v>
      </c>
      <c r="C247" s="6" t="s">
        <v>2050</v>
      </c>
      <c r="D247" s="6" t="s">
        <v>2051</v>
      </c>
      <c r="E247" s="6" t="s">
        <v>2052</v>
      </c>
      <c r="F247" s="7" t="s">
        <v>2053</v>
      </c>
      <c r="G247" s="6" t="s">
        <v>2054</v>
      </c>
    </row>
    <row r="248" spans="1:7" ht="13.8">
      <c r="A248" s="9" t="s">
        <v>836</v>
      </c>
      <c r="B248" s="6" t="s">
        <v>2055</v>
      </c>
      <c r="C248" s="6" t="s">
        <v>2056</v>
      </c>
      <c r="D248" s="6" t="s">
        <v>2057</v>
      </c>
      <c r="E248" s="6" t="s">
        <v>2058</v>
      </c>
      <c r="F248" s="7" t="s">
        <v>2059</v>
      </c>
      <c r="G248" s="6" t="s">
        <v>2060</v>
      </c>
    </row>
    <row r="249" spans="1:7" ht="13.8">
      <c r="A249" s="9" t="s">
        <v>837</v>
      </c>
      <c r="B249" s="6" t="s">
        <v>2061</v>
      </c>
      <c r="C249" s="6" t="s">
        <v>2062</v>
      </c>
      <c r="D249" s="6" t="s">
        <v>2063</v>
      </c>
      <c r="E249" s="6" t="s">
        <v>2064</v>
      </c>
      <c r="F249" s="7" t="s">
        <v>2065</v>
      </c>
      <c r="G249" s="6" t="s">
        <v>2066</v>
      </c>
    </row>
    <row r="250" spans="1:7" ht="13.8">
      <c r="A250" s="9" t="s">
        <v>839</v>
      </c>
      <c r="B250" s="6" t="s">
        <v>2067</v>
      </c>
      <c r="C250" s="6" t="s">
        <v>2068</v>
      </c>
      <c r="D250" s="6" t="s">
        <v>2069</v>
      </c>
      <c r="E250" s="6" t="s">
        <v>2070</v>
      </c>
      <c r="F250" s="7" t="s">
        <v>2071</v>
      </c>
      <c r="G250" s="6" t="s">
        <v>2072</v>
      </c>
    </row>
    <row r="251" spans="1:7" ht="13.8">
      <c r="A251" s="9" t="s">
        <v>842</v>
      </c>
      <c r="B251" s="6" t="s">
        <v>2073</v>
      </c>
      <c r="C251" s="6" t="s">
        <v>2074</v>
      </c>
      <c r="D251" s="6" t="s">
        <v>2075</v>
      </c>
      <c r="E251" s="6" t="s">
        <v>2076</v>
      </c>
      <c r="F251" s="7" t="s">
        <v>2077</v>
      </c>
      <c r="G251" s="6" t="s">
        <v>2078</v>
      </c>
    </row>
    <row r="252" spans="1:7" ht="13.8">
      <c r="A252" s="9" t="s">
        <v>845</v>
      </c>
      <c r="B252" s="6" t="s">
        <v>2079</v>
      </c>
      <c r="C252" s="6" t="s">
        <v>2080</v>
      </c>
      <c r="D252" s="6" t="s">
        <v>2081</v>
      </c>
      <c r="E252" s="6" t="s">
        <v>2082</v>
      </c>
      <c r="F252" s="7" t="s">
        <v>2083</v>
      </c>
      <c r="G252" s="6" t="s">
        <v>2084</v>
      </c>
    </row>
    <row r="253" spans="1:7" ht="13.8">
      <c r="A253" s="9" t="s">
        <v>846</v>
      </c>
      <c r="B253" s="6" t="s">
        <v>2085</v>
      </c>
      <c r="C253" s="6" t="s">
        <v>2086</v>
      </c>
      <c r="D253" s="6" t="s">
        <v>1836</v>
      </c>
      <c r="E253" s="6" t="s">
        <v>2087</v>
      </c>
      <c r="F253" s="7" t="s">
        <v>2088</v>
      </c>
      <c r="G253" s="6" t="s">
        <v>2089</v>
      </c>
    </row>
    <row r="254" spans="1:7" ht="22.8">
      <c r="A254" s="19"/>
      <c r="B254" s="20"/>
      <c r="C254" s="20"/>
      <c r="D254" s="20"/>
      <c r="E254" s="20"/>
      <c r="F254" s="21"/>
      <c r="G254" s="20"/>
    </row>
    <row r="255" spans="1:7" ht="13.2">
      <c r="A255" s="22"/>
      <c r="B255" s="20"/>
      <c r="C255" s="20"/>
      <c r="D255" s="20"/>
      <c r="E255" s="20"/>
      <c r="F255" s="21"/>
      <c r="G255" s="20"/>
    </row>
    <row r="256" spans="1:7" ht="13.8">
      <c r="A256" s="23"/>
      <c r="B256" s="20"/>
      <c r="C256" s="20"/>
      <c r="D256" s="20"/>
      <c r="E256" s="20"/>
      <c r="F256" s="21"/>
      <c r="G256" s="20"/>
    </row>
    <row r="257" spans="1:7" ht="13.8">
      <c r="A257" s="23"/>
      <c r="B257" s="20"/>
      <c r="C257" s="20"/>
      <c r="D257" s="20"/>
      <c r="E257" s="20"/>
      <c r="F257" s="21"/>
      <c r="G257" s="20"/>
    </row>
    <row r="258" spans="1:7" ht="13.8">
      <c r="A258" s="23"/>
      <c r="B258" s="20"/>
      <c r="C258" s="20"/>
      <c r="D258" s="20"/>
      <c r="E258" s="20"/>
      <c r="F258" s="21"/>
      <c r="G258" s="20"/>
    </row>
    <row r="259" spans="1:7" ht="13.2">
      <c r="A259" s="22"/>
      <c r="B259" s="20"/>
      <c r="C259" s="20"/>
      <c r="D259" s="20"/>
      <c r="E259" s="20"/>
      <c r="F259" s="21"/>
      <c r="G259" s="20"/>
    </row>
    <row r="260" spans="1:7" ht="13.8">
      <c r="A260" s="23"/>
      <c r="B260" s="20"/>
      <c r="C260" s="20"/>
      <c r="D260" s="20"/>
      <c r="E260" s="20"/>
      <c r="F260" s="21"/>
      <c r="G260" s="20"/>
    </row>
    <row r="261" spans="1:7" ht="13.8">
      <c r="A261" s="23"/>
      <c r="B261" s="20"/>
      <c r="C261" s="20"/>
      <c r="D261" s="20"/>
      <c r="E261" s="20"/>
      <c r="F261" s="21"/>
      <c r="G261" s="20"/>
    </row>
    <row r="262" spans="1:7" ht="13.8">
      <c r="A262" s="23"/>
      <c r="B262" s="20"/>
      <c r="C262" s="20"/>
      <c r="D262" s="20"/>
      <c r="E262" s="20"/>
      <c r="F262" s="21"/>
      <c r="G262" s="20"/>
    </row>
    <row r="263" spans="1:7" ht="13.2">
      <c r="A263" s="22"/>
      <c r="B263" s="20"/>
      <c r="C263" s="20"/>
      <c r="D263" s="20"/>
      <c r="E263" s="20"/>
      <c r="F263" s="21"/>
      <c r="G263" s="20"/>
    </row>
    <row r="264" spans="1:7" ht="13.8">
      <c r="A264" s="23"/>
      <c r="B264" s="20"/>
      <c r="C264" s="20"/>
      <c r="D264" s="20"/>
      <c r="E264" s="20"/>
      <c r="F264" s="21"/>
      <c r="G264" s="20"/>
    </row>
    <row r="265" spans="1:7" ht="13.8">
      <c r="A265" s="23"/>
      <c r="B265" s="20"/>
      <c r="C265" s="20"/>
      <c r="D265" s="20"/>
      <c r="E265" s="20"/>
      <c r="F265" s="21"/>
      <c r="G265" s="20"/>
    </row>
    <row r="266" spans="1:7" ht="13.8">
      <c r="A266" s="23"/>
      <c r="B266" s="20"/>
      <c r="C266" s="20"/>
      <c r="D266" s="20"/>
      <c r="E266" s="20"/>
      <c r="F266" s="21"/>
      <c r="G266" s="20"/>
    </row>
    <row r="267" spans="1:7" ht="13.2">
      <c r="A267" s="22"/>
      <c r="B267" s="20"/>
      <c r="C267" s="20"/>
      <c r="D267" s="20"/>
      <c r="E267" s="20"/>
      <c r="F267" s="21"/>
      <c r="G267" s="20"/>
    </row>
    <row r="268" spans="1:7" ht="13.8">
      <c r="A268" s="23"/>
      <c r="B268" s="20"/>
      <c r="C268" s="20"/>
      <c r="D268" s="20"/>
      <c r="E268" s="20"/>
      <c r="F268" s="21"/>
      <c r="G268" s="20"/>
    </row>
    <row r="269" spans="1:7" ht="13.8">
      <c r="A269" s="23"/>
      <c r="B269" s="20"/>
      <c r="C269" s="20"/>
      <c r="D269" s="20"/>
      <c r="E269" s="20"/>
      <c r="F269" s="21"/>
      <c r="G269" s="20"/>
    </row>
    <row r="270" spans="1:7" ht="13.8">
      <c r="A270" s="23"/>
      <c r="B270" s="20"/>
      <c r="C270" s="20"/>
      <c r="D270" s="20"/>
      <c r="E270" s="20"/>
      <c r="F270" s="21"/>
      <c r="G270" s="20"/>
    </row>
    <row r="271" spans="1:7" ht="13.2">
      <c r="A271" s="22"/>
      <c r="B271" s="20"/>
      <c r="C271" s="20"/>
      <c r="D271" s="20"/>
      <c r="E271" s="20"/>
      <c r="F271" s="21"/>
      <c r="G271" s="20"/>
    </row>
    <row r="272" spans="1:7" ht="13.8">
      <c r="A272" s="23"/>
      <c r="B272" s="20"/>
      <c r="C272" s="20"/>
      <c r="D272" s="20"/>
      <c r="E272" s="20"/>
      <c r="F272" s="21"/>
      <c r="G272" s="20"/>
    </row>
    <row r="273" spans="1:7" ht="13.8">
      <c r="A273" s="23"/>
      <c r="B273" s="20"/>
      <c r="C273" s="20"/>
      <c r="D273" s="20"/>
      <c r="E273" s="20"/>
      <c r="F273" s="21"/>
      <c r="G273" s="20"/>
    </row>
    <row r="274" spans="1:7" ht="13.8">
      <c r="A274" s="23"/>
      <c r="B274" s="20"/>
      <c r="C274" s="20"/>
      <c r="D274" s="20"/>
      <c r="E274" s="20"/>
      <c r="F274" s="21"/>
      <c r="G274" s="20"/>
    </row>
    <row r="275" spans="1:7" ht="13.2">
      <c r="A275" s="22"/>
      <c r="B275" s="20"/>
      <c r="C275" s="20"/>
      <c r="D275" s="20"/>
      <c r="E275" s="20"/>
      <c r="F275" s="21"/>
      <c r="G275" s="20"/>
    </row>
    <row r="276" spans="1:7" ht="13.8">
      <c r="A276" s="23"/>
      <c r="B276" s="20"/>
      <c r="C276" s="20"/>
      <c r="D276" s="20"/>
      <c r="E276" s="20"/>
      <c r="F276" s="21"/>
      <c r="G276" s="20"/>
    </row>
    <row r="277" spans="1:7" ht="13.8">
      <c r="A277" s="23"/>
      <c r="B277" s="20"/>
      <c r="C277" s="20"/>
      <c r="D277" s="20"/>
      <c r="E277" s="20"/>
      <c r="F277" s="21"/>
      <c r="G277" s="20"/>
    </row>
    <row r="278" spans="1:7" ht="13.8">
      <c r="A278" s="23"/>
      <c r="B278" s="20"/>
      <c r="C278" s="20"/>
      <c r="D278" s="20"/>
      <c r="E278" s="20"/>
      <c r="F278" s="21"/>
      <c r="G278" s="20"/>
    </row>
    <row r="279" spans="1:7" ht="13.2">
      <c r="A279" s="22"/>
      <c r="B279" s="20"/>
      <c r="C279" s="20"/>
      <c r="D279" s="20"/>
      <c r="E279" s="20"/>
      <c r="F279" s="21"/>
      <c r="G279" s="20"/>
    </row>
    <row r="280" spans="1:7" ht="13.8">
      <c r="A280" s="23"/>
      <c r="B280" s="20"/>
      <c r="C280" s="20"/>
      <c r="D280" s="20"/>
      <c r="E280" s="20"/>
      <c r="F280" s="21"/>
      <c r="G280" s="20"/>
    </row>
    <row r="281" spans="1:7" ht="13.8">
      <c r="A281" s="23"/>
      <c r="B281" s="20"/>
      <c r="C281" s="20"/>
      <c r="D281" s="20"/>
      <c r="E281" s="20"/>
      <c r="F281" s="21"/>
      <c r="G281" s="20"/>
    </row>
    <row r="282" spans="1:7" ht="13.8">
      <c r="A282" s="23"/>
      <c r="B282" s="20"/>
      <c r="C282" s="20"/>
      <c r="D282" s="20"/>
      <c r="E282" s="20"/>
      <c r="F282" s="21"/>
      <c r="G282" s="20"/>
    </row>
    <row r="283" spans="1:7" ht="13.2">
      <c r="A283" s="22"/>
      <c r="B283" s="20"/>
      <c r="C283" s="20"/>
      <c r="D283" s="20"/>
      <c r="E283" s="20"/>
      <c r="F283" s="21"/>
      <c r="G283" s="20"/>
    </row>
    <row r="284" spans="1:7" ht="13.8">
      <c r="A284" s="23"/>
      <c r="B284" s="20"/>
      <c r="C284" s="20"/>
      <c r="D284" s="20"/>
      <c r="E284" s="20"/>
      <c r="F284" s="21"/>
      <c r="G284" s="20"/>
    </row>
    <row r="285" spans="1:7" ht="13.8">
      <c r="A285" s="23"/>
      <c r="B285" s="20"/>
      <c r="C285" s="20"/>
      <c r="D285" s="20"/>
      <c r="E285" s="20"/>
      <c r="F285" s="21"/>
      <c r="G285" s="20"/>
    </row>
    <row r="286" spans="1:7" ht="13.8">
      <c r="A286" s="23"/>
      <c r="B286" s="20"/>
      <c r="C286" s="20"/>
      <c r="D286" s="20"/>
      <c r="E286" s="20"/>
      <c r="F286" s="21"/>
      <c r="G286" s="20"/>
    </row>
    <row r="287" spans="1:7" ht="13.2">
      <c r="A287" s="22"/>
      <c r="B287" s="20"/>
      <c r="C287" s="20"/>
      <c r="D287" s="20"/>
      <c r="E287" s="20"/>
      <c r="F287" s="21"/>
      <c r="G287" s="20"/>
    </row>
    <row r="288" spans="1:7" ht="13.8">
      <c r="A288" s="23"/>
      <c r="B288" s="20"/>
      <c r="C288" s="20"/>
      <c r="D288" s="20"/>
      <c r="E288" s="20"/>
      <c r="F288" s="21"/>
      <c r="G288" s="20"/>
    </row>
    <row r="289" spans="1:7" ht="13.8">
      <c r="A289" s="23"/>
      <c r="B289" s="20"/>
      <c r="C289" s="20"/>
      <c r="D289" s="20"/>
      <c r="E289" s="20"/>
      <c r="F289" s="21"/>
      <c r="G289" s="20"/>
    </row>
    <row r="290" spans="1:7" ht="13.8">
      <c r="A290" s="23"/>
      <c r="B290" s="20"/>
      <c r="C290" s="20"/>
      <c r="D290" s="20"/>
      <c r="E290" s="20"/>
      <c r="F290" s="21"/>
      <c r="G290" s="20"/>
    </row>
    <row r="291" spans="1:7" ht="13.2">
      <c r="A291" s="22"/>
      <c r="B291" s="20"/>
      <c r="C291" s="20"/>
      <c r="D291" s="20"/>
      <c r="E291" s="20"/>
      <c r="F291" s="21"/>
      <c r="G291" s="20"/>
    </row>
    <row r="292" spans="1:7" ht="13.8">
      <c r="A292" s="23"/>
      <c r="B292" s="20"/>
      <c r="C292" s="20"/>
      <c r="D292" s="20"/>
      <c r="E292" s="20"/>
      <c r="F292" s="21"/>
      <c r="G292" s="20"/>
    </row>
    <row r="293" spans="1:7" ht="13.8">
      <c r="A293" s="23"/>
      <c r="B293" s="20"/>
      <c r="C293" s="20"/>
      <c r="D293" s="20"/>
      <c r="E293" s="20"/>
      <c r="F293" s="21"/>
      <c r="G293" s="20"/>
    </row>
    <row r="294" spans="1:7" ht="13.8">
      <c r="A294" s="23"/>
      <c r="B294" s="20"/>
      <c r="C294" s="20"/>
      <c r="D294" s="20"/>
      <c r="E294" s="20"/>
      <c r="F294" s="21"/>
      <c r="G294" s="20"/>
    </row>
    <row r="295" spans="1:7" ht="13.2">
      <c r="A295" s="24"/>
      <c r="B295" s="20"/>
      <c r="C295" s="20"/>
      <c r="D295" s="20"/>
      <c r="E295" s="20"/>
      <c r="F295" s="21"/>
      <c r="G295" s="20"/>
    </row>
    <row r="296" spans="1:7" ht="22.8">
      <c r="A296" s="25"/>
      <c r="B296" s="20"/>
      <c r="C296" s="20"/>
      <c r="D296" s="20"/>
      <c r="E296" s="20"/>
      <c r="F296" s="21"/>
      <c r="G296" s="20"/>
    </row>
    <row r="297" spans="1:7" ht="22.8">
      <c r="A297" s="25"/>
      <c r="B297" s="20"/>
      <c r="C297" s="20"/>
      <c r="D297" s="20"/>
      <c r="E297" s="20"/>
      <c r="F297" s="21"/>
      <c r="G297" s="20"/>
    </row>
    <row r="298" spans="1:7" ht="22.8">
      <c r="A298" s="25"/>
      <c r="B298" s="20"/>
      <c r="C298" s="20"/>
      <c r="D298" s="20"/>
      <c r="E298" s="20"/>
      <c r="F298" s="21"/>
      <c r="G298" s="20"/>
    </row>
    <row r="299" spans="1:7" ht="22.8">
      <c r="A299" s="25"/>
      <c r="B299" s="20"/>
      <c r="C299" s="20"/>
      <c r="D299" s="20"/>
      <c r="E299" s="20"/>
      <c r="F299" s="21"/>
      <c r="G299" s="20"/>
    </row>
    <row r="300" spans="1:7" ht="22.8">
      <c r="A300" s="25"/>
      <c r="B300" s="20"/>
      <c r="C300" s="20"/>
      <c r="D300" s="20"/>
      <c r="E300" s="20"/>
      <c r="F300" s="21"/>
      <c r="G300" s="20"/>
    </row>
    <row r="301" spans="1:7" ht="22.8">
      <c r="A301" s="25"/>
      <c r="B301" s="20"/>
      <c r="C301" s="20"/>
      <c r="D301" s="20"/>
      <c r="E301" s="20"/>
      <c r="F301" s="21"/>
      <c r="G301" s="20"/>
    </row>
    <row r="302" spans="1:7" ht="13.2">
      <c r="A302" s="26"/>
      <c r="B302" s="20"/>
      <c r="C302" s="20"/>
      <c r="D302" s="20"/>
      <c r="E302" s="20"/>
      <c r="F302" s="21"/>
      <c r="G302" s="20"/>
    </row>
    <row r="303" spans="1:7" ht="13.2">
      <c r="A303" s="26"/>
      <c r="B303" s="20"/>
      <c r="C303" s="20"/>
      <c r="D303" s="20"/>
      <c r="E303" s="20"/>
      <c r="F303" s="21"/>
      <c r="G303" s="20"/>
    </row>
    <row r="304" spans="1:7" ht="13.2">
      <c r="A304" s="26"/>
      <c r="B304" s="20"/>
      <c r="C304" s="20"/>
      <c r="D304" s="20"/>
      <c r="E304" s="20"/>
      <c r="F304" s="21"/>
      <c r="G304" s="20"/>
    </row>
    <row r="305" spans="1:7" ht="13.2">
      <c r="A305" s="26"/>
      <c r="B305" s="20"/>
      <c r="C305" s="20"/>
      <c r="D305" s="20"/>
      <c r="E305" s="20"/>
      <c r="F305" s="21"/>
      <c r="G305" s="20"/>
    </row>
    <row r="306" spans="1:7" ht="13.2">
      <c r="A306" s="26"/>
      <c r="B306" s="20"/>
      <c r="C306" s="20"/>
      <c r="D306" s="20"/>
      <c r="E306" s="20"/>
      <c r="F306" s="21"/>
      <c r="G306" s="20"/>
    </row>
    <row r="307" spans="1:7" ht="13.2">
      <c r="A307" s="26"/>
      <c r="B307" s="20"/>
      <c r="C307" s="20"/>
      <c r="D307" s="20"/>
      <c r="E307" s="20"/>
      <c r="F307" s="21"/>
      <c r="G307" s="20"/>
    </row>
    <row r="308" spans="1:7" ht="13.2">
      <c r="A308" s="26"/>
      <c r="B308" s="20"/>
      <c r="C308" s="20"/>
      <c r="D308" s="20"/>
      <c r="E308" s="20"/>
      <c r="F308" s="21"/>
      <c r="G308" s="20"/>
    </row>
    <row r="309" spans="1:7" ht="13.2">
      <c r="A309" s="26"/>
      <c r="B309" s="20"/>
      <c r="C309" s="20"/>
      <c r="D309" s="20"/>
      <c r="E309" s="20"/>
      <c r="F309" s="21"/>
      <c r="G309" s="20"/>
    </row>
    <row r="310" spans="1:7" ht="13.2">
      <c r="A310" s="26"/>
      <c r="B310" s="20"/>
      <c r="C310" s="20"/>
      <c r="D310" s="20"/>
      <c r="E310" s="20"/>
      <c r="F310" s="21"/>
      <c r="G310" s="20"/>
    </row>
    <row r="311" spans="1:7" ht="13.2">
      <c r="A311" s="26"/>
      <c r="B311" s="20"/>
      <c r="C311" s="20"/>
      <c r="D311" s="20"/>
      <c r="E311" s="20"/>
      <c r="F311" s="21"/>
      <c r="G311" s="20"/>
    </row>
    <row r="312" spans="1:7" ht="13.2">
      <c r="A312" s="26"/>
      <c r="B312" s="20"/>
      <c r="C312" s="20"/>
      <c r="D312" s="20"/>
      <c r="E312" s="20"/>
      <c r="F312" s="21"/>
      <c r="G312" s="20"/>
    </row>
    <row r="313" spans="1:7" ht="13.2">
      <c r="A313" s="26"/>
      <c r="B313" s="20"/>
      <c r="C313" s="20"/>
      <c r="D313" s="20"/>
      <c r="E313" s="20"/>
      <c r="F313" s="21"/>
      <c r="G313" s="20"/>
    </row>
    <row r="314" spans="1:7" ht="13.2">
      <c r="A314" s="26"/>
      <c r="B314" s="20"/>
      <c r="C314" s="20"/>
      <c r="D314" s="20"/>
      <c r="E314" s="20"/>
      <c r="F314" s="21"/>
      <c r="G314" s="20"/>
    </row>
    <row r="315" spans="1:7" ht="13.2">
      <c r="A315" s="26"/>
      <c r="B315" s="20"/>
      <c r="C315" s="20"/>
      <c r="D315" s="20"/>
      <c r="E315" s="20"/>
      <c r="F315" s="21"/>
      <c r="G315" s="20"/>
    </row>
    <row r="316" spans="1:7" ht="13.2">
      <c r="A316" s="26"/>
      <c r="B316" s="20"/>
      <c r="C316" s="20"/>
      <c r="D316" s="20"/>
      <c r="E316" s="20"/>
      <c r="F316" s="21"/>
      <c r="G316" s="20"/>
    </row>
    <row r="317" spans="1:7" ht="13.2">
      <c r="A317" s="26"/>
      <c r="B317" s="20"/>
      <c r="C317" s="20"/>
      <c r="D317" s="20"/>
      <c r="E317" s="20"/>
      <c r="F317" s="21"/>
      <c r="G317" s="20"/>
    </row>
    <row r="318" spans="1:7" ht="13.2">
      <c r="A318" s="26"/>
      <c r="B318" s="20"/>
      <c r="C318" s="20"/>
      <c r="D318" s="20"/>
      <c r="E318" s="20"/>
      <c r="F318" s="21"/>
      <c r="G318" s="20"/>
    </row>
    <row r="319" spans="1:7" ht="13.2">
      <c r="A319" s="26"/>
      <c r="B319" s="20"/>
      <c r="C319" s="20"/>
      <c r="D319" s="20"/>
      <c r="E319" s="20"/>
      <c r="F319" s="21"/>
      <c r="G319" s="20"/>
    </row>
    <row r="320" spans="1:7" ht="13.2">
      <c r="A320" s="26"/>
      <c r="B320" s="20"/>
      <c r="C320" s="20"/>
      <c r="D320" s="20"/>
      <c r="E320" s="20"/>
      <c r="F320" s="21"/>
      <c r="G320" s="20"/>
    </row>
    <row r="321" spans="1:7" ht="13.2">
      <c r="A321" s="26"/>
      <c r="B321" s="20"/>
      <c r="C321" s="20"/>
      <c r="D321" s="20"/>
      <c r="E321" s="20"/>
      <c r="F321" s="21"/>
      <c r="G321" s="20"/>
    </row>
    <row r="322" spans="1:7" ht="13.2">
      <c r="A322" s="26"/>
      <c r="B322" s="20"/>
      <c r="C322" s="20"/>
      <c r="D322" s="20"/>
      <c r="E322" s="20"/>
      <c r="F322" s="21"/>
      <c r="G322" s="20"/>
    </row>
    <row r="323" spans="1:7" ht="13.2">
      <c r="A323" s="26"/>
      <c r="B323" s="20"/>
      <c r="C323" s="20"/>
      <c r="D323" s="20"/>
      <c r="E323" s="20"/>
      <c r="F323" s="21"/>
      <c r="G323" s="20"/>
    </row>
    <row r="324" spans="1:7" ht="13.2">
      <c r="A324" s="26"/>
      <c r="B324" s="20"/>
      <c r="C324" s="20"/>
      <c r="D324" s="20"/>
      <c r="E324" s="20"/>
      <c r="F324" s="21"/>
      <c r="G324" s="20"/>
    </row>
    <row r="325" spans="1:7" ht="13.2">
      <c r="A325" s="26"/>
      <c r="B325" s="20"/>
      <c r="C325" s="20"/>
      <c r="D325" s="20"/>
      <c r="E325" s="20"/>
      <c r="F325" s="21"/>
      <c r="G325" s="20"/>
    </row>
    <row r="326" spans="1:7" ht="13.2">
      <c r="A326" s="26"/>
      <c r="B326" s="20"/>
      <c r="C326" s="20"/>
      <c r="D326" s="20"/>
      <c r="E326" s="20"/>
      <c r="F326" s="21"/>
      <c r="G326" s="20"/>
    </row>
    <row r="327" spans="1:7" ht="13.2">
      <c r="A327" s="26"/>
      <c r="B327" s="20"/>
      <c r="C327" s="20"/>
      <c r="D327" s="20"/>
      <c r="E327" s="20"/>
      <c r="F327" s="21"/>
      <c r="G327" s="20"/>
    </row>
    <row r="328" spans="1:7" ht="13.2">
      <c r="A328" s="26"/>
      <c r="B328" s="20"/>
      <c r="C328" s="20"/>
      <c r="D328" s="20"/>
      <c r="E328" s="20"/>
      <c r="F328" s="21"/>
      <c r="G328" s="20"/>
    </row>
    <row r="329" spans="1:7" ht="13.2">
      <c r="A329" s="26"/>
      <c r="B329" s="20"/>
      <c r="C329" s="20"/>
      <c r="D329" s="20"/>
      <c r="E329" s="20"/>
      <c r="F329" s="21"/>
      <c r="G329" s="20"/>
    </row>
    <row r="330" spans="1:7" ht="13.2">
      <c r="A330" s="26"/>
      <c r="B330" s="20"/>
      <c r="C330" s="20"/>
      <c r="D330" s="20"/>
      <c r="E330" s="20"/>
      <c r="F330" s="21"/>
      <c r="G330" s="20"/>
    </row>
    <row r="331" spans="1:7" ht="13.2">
      <c r="A331" s="26"/>
      <c r="B331" s="20"/>
      <c r="C331" s="20"/>
      <c r="D331" s="20"/>
      <c r="E331" s="20"/>
      <c r="F331" s="21"/>
      <c r="G331" s="20"/>
    </row>
    <row r="332" spans="1:7" ht="13.2">
      <c r="A332" s="26"/>
      <c r="B332" s="20"/>
      <c r="C332" s="20"/>
      <c r="D332" s="20"/>
      <c r="E332" s="20"/>
      <c r="F332" s="21"/>
      <c r="G332" s="20"/>
    </row>
    <row r="333" spans="1:7" ht="13.2">
      <c r="A333" s="26"/>
      <c r="B333" s="20"/>
      <c r="C333" s="20"/>
      <c r="D333" s="20"/>
      <c r="E333" s="20"/>
      <c r="F333" s="21"/>
      <c r="G333" s="20"/>
    </row>
    <row r="334" spans="1:7" ht="13.2">
      <c r="A334" s="26"/>
      <c r="B334" s="20"/>
      <c r="C334" s="20"/>
      <c r="D334" s="20"/>
      <c r="E334" s="20"/>
      <c r="F334" s="21"/>
      <c r="G334" s="20"/>
    </row>
    <row r="335" spans="1:7" ht="13.2">
      <c r="A335" s="26"/>
      <c r="B335" s="20"/>
      <c r="C335" s="20"/>
      <c r="D335" s="20"/>
      <c r="E335" s="20"/>
      <c r="F335" s="21"/>
      <c r="G335" s="20"/>
    </row>
    <row r="336" spans="1:7" ht="13.2">
      <c r="A336" s="26"/>
      <c r="B336" s="20"/>
      <c r="C336" s="20"/>
      <c r="D336" s="20"/>
      <c r="E336" s="20"/>
      <c r="F336" s="21"/>
      <c r="G336" s="20"/>
    </row>
    <row r="337" spans="1:7" ht="13.2">
      <c r="A337" s="26"/>
      <c r="B337" s="20"/>
      <c r="C337" s="20"/>
      <c r="D337" s="20"/>
      <c r="E337" s="20"/>
      <c r="F337" s="21"/>
      <c r="G337" s="20"/>
    </row>
    <row r="338" spans="1:7" ht="13.2">
      <c r="A338" s="26"/>
      <c r="B338" s="20"/>
      <c r="C338" s="20"/>
      <c r="D338" s="20"/>
      <c r="E338" s="20"/>
      <c r="F338" s="21"/>
      <c r="G338" s="20"/>
    </row>
    <row r="339" spans="1:7" ht="13.2">
      <c r="A339" s="26"/>
      <c r="B339" s="20"/>
      <c r="C339" s="20"/>
      <c r="D339" s="20"/>
      <c r="E339" s="20"/>
      <c r="F339" s="21"/>
      <c r="G339" s="20"/>
    </row>
    <row r="340" spans="1:7" ht="13.2">
      <c r="A340" s="26"/>
      <c r="B340" s="20"/>
      <c r="C340" s="20"/>
      <c r="D340" s="20"/>
      <c r="E340" s="20"/>
      <c r="F340" s="21"/>
      <c r="G340" s="20"/>
    </row>
    <row r="341" spans="1:7" ht="13.2">
      <c r="A341" s="26"/>
      <c r="B341" s="20"/>
      <c r="C341" s="20"/>
      <c r="D341" s="20"/>
      <c r="E341" s="20"/>
      <c r="F341" s="21"/>
      <c r="G341" s="20"/>
    </row>
    <row r="342" spans="1:7" ht="13.2">
      <c r="A342" s="26"/>
      <c r="B342" s="20"/>
      <c r="C342" s="20"/>
      <c r="D342" s="20"/>
      <c r="E342" s="20"/>
      <c r="F342" s="21"/>
      <c r="G342" s="20"/>
    </row>
    <row r="343" spans="1:7" ht="13.2">
      <c r="A343" s="26"/>
      <c r="B343" s="20"/>
      <c r="C343" s="20"/>
      <c r="D343" s="20"/>
      <c r="E343" s="20"/>
      <c r="F343" s="21"/>
      <c r="G343" s="20"/>
    </row>
    <row r="344" spans="1:7" ht="13.2">
      <c r="A344" s="26"/>
      <c r="B344" s="20"/>
      <c r="C344" s="20"/>
      <c r="D344" s="20"/>
      <c r="E344" s="20"/>
      <c r="F344" s="21"/>
      <c r="G344" s="20"/>
    </row>
    <row r="345" spans="1:7" ht="13.2">
      <c r="A345" s="26"/>
      <c r="B345" s="20"/>
      <c r="C345" s="20"/>
      <c r="D345" s="20"/>
      <c r="E345" s="20"/>
      <c r="F345" s="21"/>
      <c r="G345" s="20"/>
    </row>
    <row r="346" spans="1:7" ht="13.2">
      <c r="A346" s="26"/>
      <c r="B346" s="20"/>
      <c r="C346" s="20"/>
      <c r="D346" s="20"/>
      <c r="E346" s="20"/>
      <c r="F346" s="21"/>
      <c r="G346" s="20"/>
    </row>
    <row r="347" spans="1:7" ht="13.2">
      <c r="A347" s="26"/>
      <c r="B347" s="20"/>
      <c r="C347" s="20"/>
      <c r="D347" s="20"/>
      <c r="E347" s="20"/>
      <c r="F347" s="21"/>
      <c r="G347" s="20"/>
    </row>
    <row r="348" spans="1:7" ht="13.2">
      <c r="A348" s="26"/>
      <c r="B348" s="20"/>
      <c r="C348" s="20"/>
      <c r="D348" s="20"/>
      <c r="E348" s="20"/>
      <c r="F348" s="21"/>
      <c r="G348" s="20"/>
    </row>
    <row r="349" spans="1:7" ht="13.2">
      <c r="A349" s="26"/>
      <c r="B349" s="20"/>
      <c r="C349" s="20"/>
      <c r="D349" s="20"/>
      <c r="E349" s="20"/>
      <c r="F349" s="21"/>
      <c r="G349" s="20"/>
    </row>
    <row r="350" spans="1:7" ht="13.2">
      <c r="A350" s="26"/>
      <c r="B350" s="20"/>
      <c r="C350" s="20"/>
      <c r="D350" s="20"/>
      <c r="E350" s="20"/>
      <c r="F350" s="21"/>
      <c r="G350" s="20"/>
    </row>
    <row r="351" spans="1:7" ht="13.2">
      <c r="A351" s="26"/>
      <c r="B351" s="20"/>
      <c r="C351" s="20"/>
      <c r="D351" s="20"/>
      <c r="E351" s="20"/>
      <c r="F351" s="21"/>
      <c r="G351" s="20"/>
    </row>
    <row r="352" spans="1:7" ht="13.2">
      <c r="A352" s="26"/>
      <c r="B352" s="20"/>
      <c r="C352" s="20"/>
      <c r="D352" s="20"/>
      <c r="E352" s="20"/>
      <c r="F352" s="21"/>
      <c r="G352" s="20"/>
    </row>
    <row r="353" spans="1:7" ht="13.2">
      <c r="A353" s="26"/>
      <c r="B353" s="20"/>
      <c r="C353" s="20"/>
      <c r="D353" s="20"/>
      <c r="E353" s="20"/>
      <c r="F353" s="21"/>
      <c r="G353" s="20"/>
    </row>
    <row r="354" spans="1:7" ht="13.2">
      <c r="A354" s="26"/>
      <c r="B354" s="20"/>
      <c r="C354" s="20"/>
      <c r="D354" s="20"/>
      <c r="E354" s="20"/>
      <c r="F354" s="21"/>
      <c r="G354" s="20"/>
    </row>
    <row r="355" spans="1:7" ht="13.2">
      <c r="A355" s="26"/>
      <c r="B355" s="20"/>
      <c r="C355" s="20"/>
      <c r="D355" s="20"/>
      <c r="E355" s="20"/>
      <c r="F355" s="21"/>
      <c r="G355" s="20"/>
    </row>
    <row r="356" spans="1:7" ht="13.2">
      <c r="A356" s="26"/>
      <c r="B356" s="20"/>
      <c r="C356" s="20"/>
      <c r="D356" s="20"/>
      <c r="E356" s="20"/>
      <c r="F356" s="21"/>
      <c r="G356" s="20"/>
    </row>
    <row r="357" spans="1:7" ht="13.2">
      <c r="A357" s="26"/>
      <c r="B357" s="20"/>
      <c r="C357" s="20"/>
      <c r="D357" s="20"/>
      <c r="E357" s="20"/>
      <c r="F357" s="21"/>
      <c r="G357" s="20"/>
    </row>
    <row r="358" spans="1:7" ht="13.2">
      <c r="A358" s="26"/>
      <c r="B358" s="20"/>
      <c r="C358" s="20"/>
      <c r="D358" s="20"/>
      <c r="E358" s="20"/>
      <c r="F358" s="21"/>
      <c r="G358" s="20"/>
    </row>
    <row r="359" spans="1:7" ht="13.2">
      <c r="A359" s="26"/>
      <c r="B359" s="20"/>
      <c r="C359" s="20"/>
      <c r="D359" s="20"/>
      <c r="E359" s="20"/>
      <c r="F359" s="21"/>
      <c r="G359" s="20"/>
    </row>
    <row r="360" spans="1:7" ht="13.2">
      <c r="A360" s="26"/>
      <c r="B360" s="20"/>
      <c r="C360" s="20"/>
      <c r="D360" s="20"/>
      <c r="E360" s="20"/>
      <c r="F360" s="21"/>
      <c r="G360" s="20"/>
    </row>
    <row r="361" spans="1:7" ht="13.2">
      <c r="A361" s="26"/>
      <c r="B361" s="20"/>
      <c r="C361" s="20"/>
      <c r="D361" s="20"/>
      <c r="E361" s="20"/>
      <c r="F361" s="21"/>
      <c r="G361" s="20"/>
    </row>
    <row r="362" spans="1:7" ht="13.2">
      <c r="A362" s="26"/>
      <c r="B362" s="20"/>
      <c r="C362" s="20"/>
      <c r="D362" s="20"/>
      <c r="E362" s="20"/>
      <c r="F362" s="21"/>
      <c r="G362" s="20"/>
    </row>
    <row r="363" spans="1:7" ht="13.2">
      <c r="A363" s="26"/>
      <c r="B363" s="20"/>
      <c r="C363" s="20"/>
      <c r="D363" s="20"/>
      <c r="E363" s="20"/>
      <c r="F363" s="21"/>
      <c r="G363" s="20"/>
    </row>
    <row r="364" spans="1:7" ht="13.2">
      <c r="A364" s="26"/>
      <c r="B364" s="20"/>
      <c r="C364" s="20"/>
      <c r="D364" s="20"/>
      <c r="E364" s="20"/>
      <c r="F364" s="21"/>
      <c r="G364" s="20"/>
    </row>
    <row r="365" spans="1:7" ht="13.2">
      <c r="A365" s="26"/>
      <c r="B365" s="20"/>
      <c r="C365" s="20"/>
      <c r="D365" s="20"/>
      <c r="E365" s="20"/>
      <c r="F365" s="21"/>
      <c r="G365" s="20"/>
    </row>
    <row r="366" spans="1:7" ht="13.2">
      <c r="A366" s="26"/>
      <c r="B366" s="20"/>
      <c r="C366" s="20"/>
      <c r="D366" s="20"/>
      <c r="E366" s="20"/>
      <c r="F366" s="21"/>
      <c r="G366" s="20"/>
    </row>
    <row r="367" spans="1:7" ht="13.2">
      <c r="A367" s="26"/>
      <c r="B367" s="20"/>
      <c r="C367" s="20"/>
      <c r="D367" s="20"/>
      <c r="E367" s="20"/>
      <c r="F367" s="21"/>
      <c r="G367" s="20"/>
    </row>
    <row r="368" spans="1:7" ht="13.2">
      <c r="A368" s="26"/>
      <c r="B368" s="20"/>
      <c r="C368" s="20"/>
      <c r="D368" s="20"/>
      <c r="E368" s="20"/>
      <c r="F368" s="21"/>
      <c r="G368" s="20"/>
    </row>
    <row r="369" spans="1:7" ht="13.2">
      <c r="A369" s="26"/>
      <c r="B369" s="20"/>
      <c r="C369" s="20"/>
      <c r="D369" s="20"/>
      <c r="E369" s="20"/>
      <c r="F369" s="21"/>
      <c r="G369" s="20"/>
    </row>
    <row r="370" spans="1:7" ht="13.2">
      <c r="A370" s="26"/>
      <c r="B370" s="20"/>
      <c r="C370" s="20"/>
      <c r="D370" s="20"/>
      <c r="E370" s="20"/>
      <c r="F370" s="21"/>
      <c r="G370" s="20"/>
    </row>
    <row r="371" spans="1:7" ht="13.2">
      <c r="A371" s="26"/>
      <c r="B371" s="20"/>
      <c r="C371" s="20"/>
      <c r="D371" s="20"/>
      <c r="E371" s="20"/>
      <c r="F371" s="21"/>
      <c r="G371" s="20"/>
    </row>
    <row r="372" spans="1:7" ht="13.2">
      <c r="A372" s="26"/>
      <c r="B372" s="20"/>
      <c r="C372" s="20"/>
      <c r="D372" s="20"/>
      <c r="E372" s="20"/>
      <c r="F372" s="21"/>
      <c r="G372" s="20"/>
    </row>
    <row r="373" spans="1:7" ht="13.2">
      <c r="A373" s="26"/>
      <c r="B373" s="20"/>
      <c r="C373" s="20"/>
      <c r="D373" s="20"/>
      <c r="E373" s="20"/>
      <c r="F373" s="21"/>
      <c r="G373" s="20"/>
    </row>
    <row r="374" spans="1:7" ht="13.2">
      <c r="A374" s="26"/>
      <c r="B374" s="20"/>
      <c r="C374" s="20"/>
      <c r="D374" s="20"/>
      <c r="E374" s="20"/>
      <c r="F374" s="21"/>
      <c r="G374" s="20"/>
    </row>
    <row r="375" spans="1:7" ht="13.2">
      <c r="A375" s="26"/>
      <c r="B375" s="20"/>
      <c r="C375" s="20"/>
      <c r="D375" s="20"/>
      <c r="E375" s="20"/>
      <c r="F375" s="21"/>
      <c r="G375" s="20"/>
    </row>
    <row r="376" spans="1:7" ht="13.2">
      <c r="A376" s="26"/>
      <c r="B376" s="20"/>
      <c r="C376" s="20"/>
      <c r="D376" s="20"/>
      <c r="E376" s="20"/>
      <c r="F376" s="21"/>
      <c r="G376" s="20"/>
    </row>
    <row r="377" spans="1:7" ht="13.2">
      <c r="A377" s="26"/>
      <c r="B377" s="20"/>
      <c r="C377" s="20"/>
      <c r="D377" s="20"/>
      <c r="E377" s="20"/>
      <c r="F377" s="21"/>
      <c r="G377" s="20"/>
    </row>
    <row r="378" spans="1:7" ht="13.2">
      <c r="A378" s="26"/>
      <c r="B378" s="20"/>
      <c r="C378" s="20"/>
      <c r="D378" s="20"/>
      <c r="E378" s="20"/>
      <c r="F378" s="21"/>
      <c r="G378" s="20"/>
    </row>
    <row r="379" spans="1:7" ht="13.2">
      <c r="A379" s="26"/>
      <c r="B379" s="20"/>
      <c r="C379" s="20"/>
      <c r="D379" s="20"/>
      <c r="E379" s="20"/>
      <c r="F379" s="21"/>
      <c r="G379" s="20"/>
    </row>
    <row r="380" spans="1:7" ht="13.2">
      <c r="A380" s="26"/>
      <c r="B380" s="20"/>
      <c r="C380" s="20"/>
      <c r="D380" s="20"/>
      <c r="E380" s="20"/>
      <c r="F380" s="21"/>
      <c r="G380" s="20"/>
    </row>
    <row r="381" spans="1:7" ht="13.2">
      <c r="A381" s="26"/>
      <c r="B381" s="20"/>
      <c r="C381" s="20"/>
      <c r="D381" s="20"/>
      <c r="E381" s="20"/>
      <c r="F381" s="21"/>
      <c r="G381" s="20"/>
    </row>
    <row r="382" spans="1:7" ht="13.2">
      <c r="A382" s="26"/>
      <c r="B382" s="20"/>
      <c r="C382" s="20"/>
      <c r="D382" s="20"/>
      <c r="E382" s="20"/>
      <c r="F382" s="21"/>
      <c r="G382" s="20"/>
    </row>
    <row r="383" spans="1:7" ht="13.2">
      <c r="A383" s="26"/>
      <c r="B383" s="20"/>
      <c r="C383" s="20"/>
      <c r="D383" s="20"/>
      <c r="E383" s="20"/>
      <c r="F383" s="21"/>
      <c r="G383" s="20"/>
    </row>
    <row r="384" spans="1:7" ht="13.2">
      <c r="A384" s="26"/>
      <c r="B384" s="20"/>
      <c r="C384" s="20"/>
      <c r="D384" s="20"/>
      <c r="E384" s="20"/>
      <c r="F384" s="21"/>
      <c r="G384" s="20"/>
    </row>
    <row r="385" spans="1:7" ht="13.2">
      <c r="A385" s="26"/>
      <c r="B385" s="20"/>
      <c r="C385" s="20"/>
      <c r="D385" s="20"/>
      <c r="E385" s="20"/>
      <c r="F385" s="21"/>
      <c r="G385" s="20"/>
    </row>
    <row r="386" spans="1:7" ht="13.2">
      <c r="A386" s="26"/>
      <c r="B386" s="20"/>
      <c r="C386" s="20"/>
      <c r="D386" s="20"/>
      <c r="E386" s="20"/>
      <c r="F386" s="21"/>
      <c r="G386" s="20"/>
    </row>
    <row r="387" spans="1:7" ht="13.2">
      <c r="A387" s="26"/>
      <c r="B387" s="20"/>
      <c r="C387" s="20"/>
      <c r="D387" s="20"/>
      <c r="E387" s="20"/>
      <c r="F387" s="21"/>
      <c r="G387" s="20"/>
    </row>
    <row r="388" spans="1:7" ht="13.2">
      <c r="A388" s="26"/>
      <c r="B388" s="20"/>
      <c r="C388" s="20"/>
      <c r="D388" s="20"/>
      <c r="E388" s="20"/>
      <c r="F388" s="21"/>
      <c r="G388" s="20"/>
    </row>
    <row r="389" spans="1:7" ht="13.2">
      <c r="A389" s="26"/>
      <c r="B389" s="20"/>
      <c r="C389" s="20"/>
      <c r="D389" s="20"/>
      <c r="E389" s="20"/>
      <c r="F389" s="21"/>
      <c r="G389" s="20"/>
    </row>
    <row r="390" spans="1:7" ht="13.2">
      <c r="A390" s="26"/>
      <c r="B390" s="20"/>
      <c r="C390" s="20"/>
      <c r="D390" s="20"/>
      <c r="E390" s="20"/>
      <c r="F390" s="21"/>
      <c r="G390" s="20"/>
    </row>
    <row r="391" spans="1:7" ht="13.2">
      <c r="A391" s="26"/>
      <c r="B391" s="20"/>
      <c r="C391" s="20"/>
      <c r="D391" s="20"/>
      <c r="E391" s="20"/>
      <c r="F391" s="21"/>
      <c r="G391" s="20"/>
    </row>
    <row r="392" spans="1:7" ht="13.2">
      <c r="A392" s="26"/>
      <c r="B392" s="20"/>
      <c r="C392" s="20"/>
      <c r="D392" s="20"/>
      <c r="E392" s="20"/>
      <c r="F392" s="21"/>
      <c r="G392" s="20"/>
    </row>
    <row r="393" spans="1:7" ht="13.2">
      <c r="A393" s="26"/>
      <c r="B393" s="20"/>
      <c r="C393" s="20"/>
      <c r="D393" s="20"/>
      <c r="E393" s="20"/>
      <c r="F393" s="21"/>
      <c r="G393" s="20"/>
    </row>
    <row r="394" spans="1:7" ht="13.2">
      <c r="A394" s="26"/>
      <c r="B394" s="20"/>
      <c r="C394" s="20"/>
      <c r="D394" s="20"/>
      <c r="E394" s="20"/>
      <c r="F394" s="21"/>
      <c r="G394" s="20"/>
    </row>
    <row r="395" spans="1:7" ht="13.2">
      <c r="A395" s="26"/>
      <c r="B395" s="20"/>
      <c r="C395" s="20"/>
      <c r="D395" s="20"/>
      <c r="E395" s="20"/>
      <c r="F395" s="21"/>
      <c r="G395" s="20"/>
    </row>
    <row r="396" spans="1:7" ht="13.2">
      <c r="A396" s="26"/>
      <c r="B396" s="20"/>
      <c r="C396" s="20"/>
      <c r="D396" s="20"/>
      <c r="E396" s="20"/>
      <c r="F396" s="21"/>
      <c r="G396" s="20"/>
    </row>
    <row r="397" spans="1:7" ht="13.2">
      <c r="A397" s="26"/>
      <c r="B397" s="20"/>
      <c r="C397" s="20"/>
      <c r="D397" s="20"/>
      <c r="E397" s="20"/>
      <c r="F397" s="21"/>
      <c r="G397" s="20"/>
    </row>
    <row r="398" spans="1:7" ht="13.2">
      <c r="A398" s="26"/>
      <c r="B398" s="20"/>
      <c r="C398" s="20"/>
      <c r="D398" s="20"/>
      <c r="E398" s="20"/>
      <c r="F398" s="21"/>
      <c r="G398" s="20"/>
    </row>
    <row r="399" spans="1:7" ht="13.2">
      <c r="A399" s="26"/>
      <c r="B399" s="20"/>
      <c r="C399" s="20"/>
      <c r="D399" s="20"/>
      <c r="E399" s="20"/>
      <c r="F399" s="21"/>
      <c r="G399" s="20"/>
    </row>
    <row r="400" spans="1:7" ht="13.2">
      <c r="A400" s="26"/>
      <c r="B400" s="20"/>
      <c r="C400" s="20"/>
      <c r="D400" s="20"/>
      <c r="E400" s="20"/>
      <c r="F400" s="21"/>
      <c r="G400" s="20"/>
    </row>
    <row r="401" spans="1:7" ht="13.2">
      <c r="A401" s="26"/>
      <c r="B401" s="20"/>
      <c r="C401" s="20"/>
      <c r="D401" s="20"/>
      <c r="E401" s="20"/>
      <c r="F401" s="21"/>
      <c r="G401" s="20"/>
    </row>
    <row r="402" spans="1:7" ht="13.2">
      <c r="A402" s="26"/>
      <c r="B402" s="20"/>
      <c r="C402" s="20"/>
      <c r="D402" s="20"/>
      <c r="E402" s="20"/>
      <c r="F402" s="21"/>
      <c r="G402" s="20"/>
    </row>
    <row r="403" spans="1:7" ht="13.2">
      <c r="A403" s="26"/>
      <c r="B403" s="20"/>
      <c r="C403" s="20"/>
      <c r="D403" s="20"/>
      <c r="E403" s="20"/>
      <c r="F403" s="21"/>
      <c r="G403" s="20"/>
    </row>
    <row r="404" spans="1:7" ht="13.2">
      <c r="A404" s="26"/>
      <c r="B404" s="20"/>
      <c r="C404" s="20"/>
      <c r="D404" s="20"/>
      <c r="E404" s="20"/>
      <c r="F404" s="21"/>
      <c r="G404" s="20"/>
    </row>
    <row r="405" spans="1:7" ht="13.2">
      <c r="A405" s="26"/>
      <c r="B405" s="20"/>
      <c r="C405" s="20"/>
      <c r="D405" s="20"/>
      <c r="E405" s="20"/>
      <c r="F405" s="21"/>
      <c r="G405" s="20"/>
    </row>
    <row r="406" spans="1:7" ht="13.2">
      <c r="A406" s="26"/>
      <c r="B406" s="20"/>
      <c r="C406" s="20"/>
      <c r="D406" s="20"/>
      <c r="E406" s="20"/>
      <c r="F406" s="21"/>
      <c r="G406" s="20"/>
    </row>
    <row r="407" spans="1:7" ht="13.2">
      <c r="A407" s="26"/>
      <c r="B407" s="20"/>
      <c r="C407" s="20"/>
      <c r="D407" s="20"/>
      <c r="E407" s="20"/>
      <c r="F407" s="21"/>
      <c r="G407" s="20"/>
    </row>
    <row r="408" spans="1:7" ht="13.2">
      <c r="A408" s="26"/>
      <c r="B408" s="20"/>
      <c r="C408" s="20"/>
      <c r="D408" s="20"/>
      <c r="E408" s="20"/>
      <c r="F408" s="21"/>
      <c r="G408" s="20"/>
    </row>
    <row r="409" spans="1:7" ht="13.2">
      <c r="A409" s="26"/>
      <c r="B409" s="20"/>
      <c r="C409" s="20"/>
      <c r="D409" s="20"/>
      <c r="E409" s="20"/>
      <c r="F409" s="21"/>
      <c r="G409" s="20"/>
    </row>
    <row r="410" spans="1:7" ht="13.2">
      <c r="A410" s="26"/>
      <c r="B410" s="20"/>
      <c r="C410" s="20"/>
      <c r="D410" s="20"/>
      <c r="E410" s="20"/>
      <c r="F410" s="21"/>
      <c r="G410" s="20"/>
    </row>
    <row r="411" spans="1:7" ht="13.2">
      <c r="A411" s="26"/>
      <c r="B411" s="20"/>
      <c r="C411" s="20"/>
      <c r="D411" s="20"/>
      <c r="E411" s="20"/>
      <c r="F411" s="21"/>
      <c r="G411" s="20"/>
    </row>
    <row r="412" spans="1:7" ht="13.2">
      <c r="A412" s="26"/>
      <c r="B412" s="20"/>
      <c r="C412" s="20"/>
      <c r="D412" s="20"/>
      <c r="E412" s="20"/>
      <c r="F412" s="21"/>
      <c r="G412" s="20"/>
    </row>
    <row r="413" spans="1:7" ht="13.2">
      <c r="A413" s="26"/>
      <c r="B413" s="20"/>
      <c r="C413" s="20"/>
      <c r="D413" s="20"/>
      <c r="E413" s="20"/>
      <c r="F413" s="21"/>
      <c r="G413" s="20"/>
    </row>
    <row r="414" spans="1:7" ht="13.2">
      <c r="A414" s="26"/>
      <c r="B414" s="20"/>
      <c r="C414" s="20"/>
      <c r="D414" s="20"/>
      <c r="E414" s="20"/>
      <c r="F414" s="21"/>
      <c r="G414" s="20"/>
    </row>
    <row r="415" spans="1:7" ht="13.2">
      <c r="A415" s="26"/>
      <c r="B415" s="20"/>
      <c r="C415" s="20"/>
      <c r="D415" s="20"/>
      <c r="E415" s="20"/>
      <c r="F415" s="21"/>
      <c r="G415" s="20"/>
    </row>
    <row r="416" spans="1:7" ht="13.2">
      <c r="A416" s="26"/>
      <c r="B416" s="20"/>
      <c r="C416" s="20"/>
      <c r="D416" s="20"/>
      <c r="E416" s="20"/>
      <c r="F416" s="21"/>
      <c r="G416" s="20"/>
    </row>
    <row r="417" spans="1:7" ht="13.2">
      <c r="A417" s="26"/>
      <c r="B417" s="20"/>
      <c r="C417" s="20"/>
      <c r="D417" s="20"/>
      <c r="E417" s="20"/>
      <c r="F417" s="21"/>
      <c r="G417" s="20"/>
    </row>
    <row r="418" spans="1:7" ht="13.2">
      <c r="A418" s="26"/>
      <c r="B418" s="20"/>
      <c r="C418" s="20"/>
      <c r="D418" s="20"/>
      <c r="E418" s="20"/>
      <c r="F418" s="21"/>
      <c r="G418" s="20"/>
    </row>
    <row r="419" spans="1:7" ht="13.2">
      <c r="A419" s="26"/>
      <c r="B419" s="20"/>
      <c r="C419" s="20"/>
      <c r="D419" s="20"/>
      <c r="E419" s="20"/>
      <c r="F419" s="21"/>
      <c r="G419" s="20"/>
    </row>
    <row r="420" spans="1:7" ht="13.2">
      <c r="A420" s="26"/>
      <c r="B420" s="20"/>
      <c r="C420" s="20"/>
      <c r="D420" s="20"/>
      <c r="E420" s="20"/>
      <c r="F420" s="21"/>
      <c r="G420" s="20"/>
    </row>
    <row r="421" spans="1:7" ht="13.2">
      <c r="A421" s="26"/>
      <c r="B421" s="20"/>
      <c r="C421" s="20"/>
      <c r="D421" s="20"/>
      <c r="E421" s="20"/>
      <c r="F421" s="21"/>
      <c r="G421" s="20"/>
    </row>
    <row r="422" spans="1:7" ht="13.2">
      <c r="A422" s="26"/>
      <c r="B422" s="20"/>
      <c r="C422" s="20"/>
      <c r="D422" s="20"/>
      <c r="E422" s="20"/>
      <c r="F422" s="21"/>
      <c r="G422" s="20"/>
    </row>
    <row r="423" spans="1:7" ht="13.2">
      <c r="A423" s="26"/>
      <c r="B423" s="20"/>
      <c r="C423" s="20"/>
      <c r="D423" s="20"/>
      <c r="E423" s="20"/>
      <c r="F423" s="21"/>
      <c r="G423" s="20"/>
    </row>
    <row r="424" spans="1:7" ht="13.2">
      <c r="A424" s="26"/>
      <c r="B424" s="20"/>
      <c r="C424" s="20"/>
      <c r="D424" s="20"/>
      <c r="E424" s="20"/>
      <c r="F424" s="21"/>
      <c r="G424" s="20"/>
    </row>
    <row r="425" spans="1:7" ht="13.2">
      <c r="A425" s="26"/>
      <c r="B425" s="20"/>
      <c r="C425" s="20"/>
      <c r="D425" s="20"/>
      <c r="E425" s="20"/>
      <c r="F425" s="21"/>
      <c r="G425" s="20"/>
    </row>
    <row r="426" spans="1:7" ht="13.2">
      <c r="A426" s="26"/>
      <c r="B426" s="20"/>
      <c r="C426" s="20"/>
      <c r="D426" s="20"/>
      <c r="E426" s="20"/>
      <c r="F426" s="21"/>
      <c r="G426" s="20"/>
    </row>
    <row r="427" spans="1:7" ht="13.2">
      <c r="A427" s="26"/>
      <c r="B427" s="20"/>
      <c r="C427" s="20"/>
      <c r="D427" s="20"/>
      <c r="E427" s="20"/>
      <c r="F427" s="21"/>
      <c r="G427" s="20"/>
    </row>
    <row r="428" spans="1:7" ht="13.2">
      <c r="A428" s="26"/>
      <c r="B428" s="20"/>
      <c r="C428" s="20"/>
      <c r="D428" s="20"/>
      <c r="E428" s="20"/>
      <c r="F428" s="21"/>
      <c r="G428" s="20"/>
    </row>
    <row r="429" spans="1:7" ht="13.2">
      <c r="A429" s="26"/>
      <c r="B429" s="20"/>
      <c r="C429" s="20"/>
      <c r="D429" s="20"/>
      <c r="E429" s="20"/>
      <c r="F429" s="21"/>
      <c r="G429" s="20"/>
    </row>
    <row r="430" spans="1:7" ht="13.2">
      <c r="A430" s="26"/>
      <c r="B430" s="20"/>
      <c r="C430" s="20"/>
      <c r="D430" s="20"/>
      <c r="E430" s="20"/>
      <c r="F430" s="21"/>
      <c r="G430" s="20"/>
    </row>
    <row r="431" spans="1:7" ht="13.2">
      <c r="A431" s="26"/>
      <c r="B431" s="20"/>
      <c r="C431" s="20"/>
      <c r="D431" s="20"/>
      <c r="E431" s="20"/>
      <c r="F431" s="21"/>
      <c r="G431" s="20"/>
    </row>
    <row r="432" spans="1:7" ht="13.2">
      <c r="A432" s="26"/>
      <c r="B432" s="20"/>
      <c r="C432" s="20"/>
      <c r="D432" s="20"/>
      <c r="E432" s="20"/>
      <c r="F432" s="21"/>
      <c r="G432" s="20"/>
    </row>
    <row r="433" spans="1:7" ht="13.2">
      <c r="A433" s="26"/>
      <c r="B433" s="20"/>
      <c r="C433" s="20"/>
      <c r="D433" s="20"/>
      <c r="E433" s="20"/>
      <c r="F433" s="21"/>
      <c r="G433" s="20"/>
    </row>
    <row r="434" spans="1:7" ht="13.2">
      <c r="A434" s="26"/>
      <c r="B434" s="20"/>
      <c r="C434" s="20"/>
      <c r="D434" s="20"/>
      <c r="E434" s="20"/>
      <c r="F434" s="21"/>
      <c r="G434" s="20"/>
    </row>
    <row r="435" spans="1:7" ht="13.2">
      <c r="A435" s="26"/>
      <c r="B435" s="20"/>
      <c r="C435" s="20"/>
      <c r="D435" s="20"/>
      <c r="E435" s="20"/>
      <c r="F435" s="21"/>
      <c r="G435" s="20"/>
    </row>
    <row r="436" spans="1:7" ht="13.2">
      <c r="A436" s="26"/>
      <c r="B436" s="20"/>
      <c r="C436" s="20"/>
      <c r="D436" s="20"/>
      <c r="E436" s="20"/>
      <c r="F436" s="21"/>
      <c r="G436" s="20"/>
    </row>
    <row r="437" spans="1:7" ht="13.2">
      <c r="A437" s="26"/>
      <c r="B437" s="20"/>
      <c r="C437" s="20"/>
      <c r="D437" s="20"/>
      <c r="E437" s="20"/>
      <c r="F437" s="21"/>
      <c r="G437" s="20"/>
    </row>
    <row r="438" spans="1:7" ht="13.2">
      <c r="A438" s="26"/>
      <c r="B438" s="20"/>
      <c r="C438" s="20"/>
      <c r="D438" s="20"/>
      <c r="E438" s="20"/>
      <c r="F438" s="21"/>
      <c r="G438" s="20"/>
    </row>
    <row r="439" spans="1:7" ht="13.2">
      <c r="A439" s="26"/>
      <c r="B439" s="20"/>
      <c r="C439" s="20"/>
      <c r="D439" s="20"/>
      <c r="E439" s="20"/>
      <c r="F439" s="21"/>
      <c r="G439" s="20"/>
    </row>
    <row r="440" spans="1:7" ht="13.2">
      <c r="A440" s="26"/>
      <c r="B440" s="20"/>
      <c r="C440" s="20"/>
      <c r="D440" s="20"/>
      <c r="E440" s="20"/>
      <c r="F440" s="21"/>
      <c r="G440" s="20"/>
    </row>
    <row r="441" spans="1:7" ht="13.2">
      <c r="A441" s="26"/>
      <c r="B441" s="20"/>
      <c r="C441" s="20"/>
      <c r="D441" s="20"/>
      <c r="E441" s="20"/>
      <c r="F441" s="21"/>
      <c r="G441" s="20"/>
    </row>
    <row r="442" spans="1:7" ht="13.2">
      <c r="A442" s="26"/>
      <c r="B442" s="20"/>
      <c r="C442" s="20"/>
      <c r="D442" s="20"/>
      <c r="E442" s="20"/>
      <c r="F442" s="21"/>
      <c r="G442" s="20"/>
    </row>
    <row r="443" spans="1:7" ht="13.2">
      <c r="A443" s="26"/>
      <c r="B443" s="20"/>
      <c r="C443" s="20"/>
      <c r="D443" s="20"/>
      <c r="E443" s="20"/>
      <c r="F443" s="21"/>
      <c r="G443" s="20"/>
    </row>
    <row r="444" spans="1:7" ht="13.2">
      <c r="A444" s="26"/>
      <c r="B444" s="20"/>
      <c r="C444" s="20"/>
      <c r="D444" s="20"/>
      <c r="E444" s="20"/>
      <c r="F444" s="21"/>
      <c r="G444" s="20"/>
    </row>
    <row r="445" spans="1:7" ht="13.2">
      <c r="A445" s="26"/>
      <c r="B445" s="20"/>
      <c r="C445" s="20"/>
      <c r="D445" s="20"/>
      <c r="E445" s="20"/>
      <c r="F445" s="21"/>
      <c r="G445" s="20"/>
    </row>
    <row r="446" spans="1:7" ht="13.2">
      <c r="A446" s="26"/>
      <c r="B446" s="20"/>
      <c r="C446" s="20"/>
      <c r="D446" s="20"/>
      <c r="E446" s="20"/>
      <c r="F446" s="21"/>
      <c r="G446" s="20"/>
    </row>
    <row r="447" spans="1:7" ht="13.2">
      <c r="A447" s="26"/>
      <c r="B447" s="20"/>
      <c r="C447" s="20"/>
      <c r="D447" s="20"/>
      <c r="E447" s="20"/>
      <c r="F447" s="21"/>
      <c r="G447" s="20"/>
    </row>
    <row r="448" spans="1:7" ht="13.2">
      <c r="A448" s="26"/>
      <c r="B448" s="20"/>
      <c r="C448" s="20"/>
      <c r="D448" s="20"/>
      <c r="E448" s="20"/>
      <c r="F448" s="21"/>
      <c r="G448" s="20"/>
    </row>
    <row r="449" spans="1:7" ht="13.2">
      <c r="A449" s="26"/>
      <c r="B449" s="20"/>
      <c r="C449" s="20"/>
      <c r="D449" s="20"/>
      <c r="E449" s="20"/>
      <c r="F449" s="21"/>
      <c r="G449" s="20"/>
    </row>
    <row r="450" spans="1:7" ht="13.2">
      <c r="A450" s="26"/>
      <c r="B450" s="20"/>
      <c r="C450" s="20"/>
      <c r="D450" s="20"/>
      <c r="E450" s="20"/>
      <c r="F450" s="21"/>
      <c r="G450" s="20"/>
    </row>
    <row r="451" spans="1:7" ht="13.2">
      <c r="A451" s="26"/>
      <c r="B451" s="20"/>
      <c r="C451" s="20"/>
      <c r="D451" s="20"/>
      <c r="E451" s="20"/>
      <c r="F451" s="21"/>
      <c r="G451" s="20"/>
    </row>
    <row r="452" spans="1:7" ht="13.2">
      <c r="A452" s="26"/>
      <c r="B452" s="20"/>
      <c r="C452" s="20"/>
      <c r="D452" s="20"/>
      <c r="E452" s="20"/>
      <c r="F452" s="21"/>
      <c r="G452" s="20"/>
    </row>
    <row r="453" spans="1:7" ht="13.2">
      <c r="A453" s="26"/>
      <c r="B453" s="20"/>
      <c r="C453" s="20"/>
      <c r="D453" s="20"/>
      <c r="E453" s="20"/>
      <c r="F453" s="21"/>
      <c r="G453" s="20"/>
    </row>
    <row r="454" spans="1:7" ht="13.2">
      <c r="A454" s="26"/>
      <c r="B454" s="20"/>
      <c r="C454" s="20"/>
      <c r="D454" s="20"/>
      <c r="E454" s="20"/>
      <c r="F454" s="21"/>
      <c r="G454" s="20"/>
    </row>
    <row r="455" spans="1:7" ht="13.2">
      <c r="A455" s="26"/>
      <c r="B455" s="20"/>
      <c r="C455" s="20"/>
      <c r="D455" s="20"/>
      <c r="E455" s="20"/>
      <c r="F455" s="21"/>
      <c r="G455" s="20"/>
    </row>
    <row r="456" spans="1:7" ht="13.2">
      <c r="A456" s="26"/>
      <c r="B456" s="20"/>
      <c r="C456" s="20"/>
      <c r="D456" s="20"/>
      <c r="E456" s="20"/>
      <c r="F456" s="21"/>
      <c r="G456" s="20"/>
    </row>
    <row r="457" spans="1:7" ht="13.2">
      <c r="A457" s="26"/>
      <c r="B457" s="20"/>
      <c r="C457" s="20"/>
      <c r="D457" s="20"/>
      <c r="E457" s="20"/>
      <c r="F457" s="21"/>
      <c r="G457" s="20"/>
    </row>
    <row r="458" spans="1:7" ht="13.2">
      <c r="A458" s="26"/>
      <c r="B458" s="20"/>
      <c r="C458" s="20"/>
      <c r="D458" s="20"/>
      <c r="E458" s="20"/>
      <c r="F458" s="21"/>
      <c r="G458" s="20"/>
    </row>
    <row r="459" spans="1:7" ht="13.2">
      <c r="A459" s="26"/>
      <c r="B459" s="20"/>
      <c r="C459" s="20"/>
      <c r="D459" s="20"/>
      <c r="E459" s="20"/>
      <c r="F459" s="21"/>
      <c r="G459" s="20"/>
    </row>
    <row r="460" spans="1:7" ht="13.2">
      <c r="A460" s="26"/>
      <c r="B460" s="20"/>
      <c r="C460" s="20"/>
      <c r="D460" s="20"/>
      <c r="E460" s="20"/>
      <c r="F460" s="21"/>
      <c r="G460" s="20"/>
    </row>
    <row r="461" spans="1:7" ht="13.2">
      <c r="A461" s="26"/>
      <c r="B461" s="20"/>
      <c r="C461" s="20"/>
      <c r="D461" s="20"/>
      <c r="E461" s="20"/>
      <c r="F461" s="21"/>
      <c r="G461" s="20"/>
    </row>
    <row r="462" spans="1:7" ht="13.2">
      <c r="A462" s="26"/>
      <c r="B462" s="20"/>
      <c r="C462" s="20"/>
      <c r="D462" s="20"/>
      <c r="E462" s="20"/>
      <c r="F462" s="21"/>
      <c r="G462" s="20"/>
    </row>
    <row r="463" spans="1:7" ht="13.2">
      <c r="A463" s="26"/>
      <c r="B463" s="20"/>
      <c r="C463" s="20"/>
      <c r="D463" s="20"/>
      <c r="E463" s="20"/>
      <c r="F463" s="21"/>
      <c r="G463" s="20"/>
    </row>
    <row r="464" spans="1:7" ht="13.2">
      <c r="A464" s="26"/>
      <c r="B464" s="20"/>
      <c r="C464" s="20"/>
      <c r="D464" s="20"/>
      <c r="E464" s="20"/>
      <c r="F464" s="21"/>
      <c r="G464" s="20"/>
    </row>
    <row r="465" spans="1:7" ht="13.2">
      <c r="A465" s="26"/>
      <c r="B465" s="20"/>
      <c r="C465" s="20"/>
      <c r="D465" s="20"/>
      <c r="E465" s="20"/>
      <c r="F465" s="21"/>
      <c r="G465" s="20"/>
    </row>
    <row r="466" spans="1:7" ht="13.2">
      <c r="A466" s="26"/>
      <c r="B466" s="20"/>
      <c r="C466" s="20"/>
      <c r="D466" s="20"/>
      <c r="E466" s="20"/>
      <c r="F466" s="21"/>
      <c r="G466" s="20"/>
    </row>
    <row r="467" spans="1:7" ht="13.2">
      <c r="A467" s="26"/>
      <c r="B467" s="20"/>
      <c r="C467" s="20"/>
      <c r="D467" s="20"/>
      <c r="E467" s="20"/>
      <c r="F467" s="21"/>
      <c r="G467" s="20"/>
    </row>
    <row r="468" spans="1:7" ht="13.2">
      <c r="A468" s="26"/>
      <c r="B468" s="20"/>
      <c r="C468" s="20"/>
      <c r="D468" s="20"/>
      <c r="E468" s="20"/>
      <c r="F468" s="21"/>
      <c r="G468" s="20"/>
    </row>
    <row r="469" spans="1:7" ht="13.2">
      <c r="A469" s="26"/>
      <c r="B469" s="20"/>
      <c r="C469" s="20"/>
      <c r="D469" s="20"/>
      <c r="E469" s="20"/>
      <c r="F469" s="21"/>
      <c r="G469" s="20"/>
    </row>
    <row r="470" spans="1:7" ht="13.2">
      <c r="A470" s="26"/>
      <c r="B470" s="20"/>
      <c r="C470" s="20"/>
      <c r="D470" s="20"/>
      <c r="E470" s="20"/>
      <c r="F470" s="21"/>
      <c r="G470" s="20"/>
    </row>
    <row r="471" spans="1:7" ht="13.2">
      <c r="A471" s="26"/>
      <c r="B471" s="20"/>
      <c r="C471" s="20"/>
      <c r="D471" s="20"/>
      <c r="E471" s="20"/>
      <c r="F471" s="21"/>
      <c r="G471" s="20"/>
    </row>
    <row r="472" spans="1:7" ht="13.2">
      <c r="A472" s="26"/>
      <c r="B472" s="20"/>
      <c r="C472" s="20"/>
      <c r="D472" s="20"/>
      <c r="E472" s="20"/>
      <c r="F472" s="21"/>
      <c r="G472" s="20"/>
    </row>
    <row r="473" spans="1:7" ht="13.2">
      <c r="A473" s="26"/>
      <c r="B473" s="20"/>
      <c r="C473" s="20"/>
      <c r="D473" s="20"/>
      <c r="E473" s="20"/>
      <c r="F473" s="21"/>
      <c r="G473" s="20"/>
    </row>
    <row r="474" spans="1:7" ht="13.2">
      <c r="A474" s="26"/>
      <c r="B474" s="20"/>
      <c r="C474" s="20"/>
      <c r="D474" s="20"/>
      <c r="E474" s="20"/>
      <c r="F474" s="21"/>
      <c r="G474" s="20"/>
    </row>
    <row r="475" spans="1:7" ht="13.2">
      <c r="A475" s="26"/>
      <c r="B475" s="20"/>
      <c r="C475" s="20"/>
      <c r="D475" s="20"/>
      <c r="E475" s="20"/>
      <c r="F475" s="21"/>
      <c r="G475" s="20"/>
    </row>
    <row r="476" spans="1:7" ht="13.2">
      <c r="A476" s="26"/>
      <c r="B476" s="20"/>
      <c r="C476" s="20"/>
      <c r="D476" s="20"/>
      <c r="E476" s="20"/>
      <c r="F476" s="21"/>
      <c r="G476" s="20"/>
    </row>
    <row r="477" spans="1:7" ht="13.2">
      <c r="A477" s="26"/>
      <c r="B477" s="20"/>
      <c r="C477" s="20"/>
      <c r="D477" s="20"/>
      <c r="E477" s="20"/>
      <c r="F477" s="21"/>
      <c r="G477" s="20"/>
    </row>
    <row r="478" spans="1:7" ht="13.2">
      <c r="A478" s="26"/>
      <c r="B478" s="20"/>
      <c r="C478" s="20"/>
      <c r="D478" s="20"/>
      <c r="E478" s="20"/>
      <c r="F478" s="21"/>
      <c r="G478" s="20"/>
    </row>
    <row r="479" spans="1:7" ht="13.2">
      <c r="A479" s="26"/>
      <c r="B479" s="20"/>
      <c r="C479" s="20"/>
      <c r="D479" s="20"/>
      <c r="E479" s="20"/>
      <c r="F479" s="21"/>
      <c r="G479" s="20"/>
    </row>
    <row r="480" spans="1:7" ht="13.2">
      <c r="A480" s="26"/>
      <c r="B480" s="20"/>
      <c r="C480" s="20"/>
      <c r="D480" s="20"/>
      <c r="E480" s="20"/>
      <c r="F480" s="21"/>
      <c r="G480" s="20"/>
    </row>
    <row r="481" spans="1:7" ht="13.2">
      <c r="A481" s="26"/>
      <c r="B481" s="20"/>
      <c r="C481" s="20"/>
      <c r="D481" s="20"/>
      <c r="E481" s="20"/>
      <c r="F481" s="21"/>
      <c r="G481" s="20"/>
    </row>
    <row r="482" spans="1:7" ht="13.2">
      <c r="A482" s="26"/>
      <c r="B482" s="20"/>
      <c r="C482" s="20"/>
      <c r="D482" s="20"/>
      <c r="E482" s="20"/>
      <c r="F482" s="21"/>
      <c r="G482" s="20"/>
    </row>
    <row r="483" spans="1:7" ht="13.2">
      <c r="A483" s="26"/>
      <c r="B483" s="20"/>
      <c r="C483" s="20"/>
      <c r="D483" s="20"/>
      <c r="E483" s="20"/>
      <c r="F483" s="21"/>
      <c r="G483" s="20"/>
    </row>
    <row r="484" spans="1:7" ht="13.2">
      <c r="A484" s="26"/>
      <c r="B484" s="20"/>
      <c r="C484" s="20"/>
      <c r="D484" s="20"/>
      <c r="E484" s="20"/>
      <c r="F484" s="21"/>
      <c r="G484" s="20"/>
    </row>
    <row r="485" spans="1:7" ht="13.2">
      <c r="A485" s="26"/>
      <c r="B485" s="20"/>
      <c r="C485" s="20"/>
      <c r="D485" s="20"/>
      <c r="E485" s="20"/>
      <c r="F485" s="21"/>
      <c r="G485" s="20"/>
    </row>
    <row r="486" spans="1:7" ht="13.2">
      <c r="A486" s="26"/>
      <c r="B486" s="20"/>
      <c r="C486" s="20"/>
      <c r="D486" s="20"/>
      <c r="E486" s="20"/>
      <c r="F486" s="21"/>
      <c r="G486" s="20"/>
    </row>
    <row r="487" spans="1:7" ht="13.2">
      <c r="A487" s="26"/>
      <c r="B487" s="20"/>
      <c r="C487" s="20"/>
      <c r="D487" s="20"/>
      <c r="E487" s="20"/>
      <c r="F487" s="21"/>
      <c r="G487" s="20"/>
    </row>
    <row r="488" spans="1:7" ht="13.2">
      <c r="A488" s="26"/>
      <c r="B488" s="20"/>
      <c r="C488" s="20"/>
      <c r="D488" s="20"/>
      <c r="E488" s="20"/>
      <c r="F488" s="21"/>
      <c r="G488" s="20"/>
    </row>
    <row r="489" spans="1:7" ht="13.2">
      <c r="A489" s="26"/>
      <c r="B489" s="20"/>
      <c r="C489" s="20"/>
      <c r="D489" s="20"/>
      <c r="E489" s="20"/>
      <c r="F489" s="21"/>
      <c r="G489" s="20"/>
    </row>
    <row r="490" spans="1:7" ht="13.2">
      <c r="A490" s="26"/>
      <c r="B490" s="20"/>
      <c r="C490" s="20"/>
      <c r="D490" s="20"/>
      <c r="E490" s="20"/>
      <c r="F490" s="21"/>
      <c r="G490" s="20"/>
    </row>
    <row r="491" spans="1:7" ht="13.2">
      <c r="A491" s="26"/>
      <c r="B491" s="20"/>
      <c r="C491" s="20"/>
      <c r="D491" s="20"/>
      <c r="E491" s="20"/>
      <c r="F491" s="21"/>
      <c r="G491" s="20"/>
    </row>
    <row r="492" spans="1:7" ht="13.2">
      <c r="A492" s="26"/>
      <c r="B492" s="20"/>
      <c r="C492" s="20"/>
      <c r="D492" s="20"/>
      <c r="E492" s="20"/>
      <c r="F492" s="21"/>
      <c r="G492" s="20"/>
    </row>
    <row r="493" spans="1:7" ht="13.2">
      <c r="A493" s="26"/>
      <c r="B493" s="20"/>
      <c r="C493" s="20"/>
      <c r="D493" s="20"/>
      <c r="E493" s="20"/>
      <c r="F493" s="21"/>
      <c r="G493" s="20"/>
    </row>
    <row r="494" spans="1:7" ht="13.2">
      <c r="A494" s="26"/>
      <c r="B494" s="20"/>
      <c r="C494" s="20"/>
      <c r="D494" s="20"/>
      <c r="E494" s="20"/>
      <c r="F494" s="21"/>
      <c r="G494" s="20"/>
    </row>
    <row r="495" spans="1:7" ht="13.2">
      <c r="A495" s="26"/>
      <c r="B495" s="20"/>
      <c r="C495" s="20"/>
      <c r="D495" s="20"/>
      <c r="E495" s="20"/>
      <c r="F495" s="21"/>
      <c r="G495" s="20"/>
    </row>
    <row r="496" spans="1:7" ht="13.2">
      <c r="A496" s="26"/>
      <c r="B496" s="20"/>
      <c r="C496" s="20"/>
      <c r="D496" s="20"/>
      <c r="E496" s="20"/>
      <c r="F496" s="21"/>
      <c r="G496" s="20"/>
    </row>
    <row r="497" spans="1:7" ht="13.2">
      <c r="A497" s="26"/>
      <c r="B497" s="20"/>
      <c r="C497" s="20"/>
      <c r="D497" s="20"/>
      <c r="E497" s="20"/>
      <c r="F497" s="21"/>
      <c r="G497" s="20"/>
    </row>
    <row r="498" spans="1:7" ht="13.2">
      <c r="A498" s="26"/>
      <c r="B498" s="20"/>
      <c r="C498" s="20"/>
      <c r="D498" s="20"/>
      <c r="E498" s="20"/>
      <c r="F498" s="21"/>
      <c r="G498" s="20"/>
    </row>
    <row r="499" spans="1:7" ht="13.2">
      <c r="A499" s="26"/>
      <c r="B499" s="20"/>
      <c r="C499" s="20"/>
      <c r="D499" s="20"/>
      <c r="E499" s="20"/>
      <c r="F499" s="21"/>
      <c r="G499" s="20"/>
    </row>
    <row r="500" spans="1:7" ht="13.2">
      <c r="A500" s="26"/>
      <c r="B500" s="20"/>
      <c r="C500" s="20"/>
      <c r="D500" s="20"/>
      <c r="E500" s="20"/>
      <c r="F500" s="21"/>
      <c r="G500" s="20"/>
    </row>
    <row r="501" spans="1:7" ht="13.2">
      <c r="A501" s="26"/>
      <c r="B501" s="20"/>
      <c r="C501" s="20"/>
      <c r="D501" s="20"/>
      <c r="E501" s="20"/>
      <c r="F501" s="21"/>
      <c r="G501" s="20"/>
    </row>
    <row r="502" spans="1:7" ht="13.2">
      <c r="A502" s="26"/>
      <c r="B502" s="20"/>
      <c r="C502" s="20"/>
      <c r="D502" s="20"/>
      <c r="E502" s="20"/>
      <c r="F502" s="21"/>
      <c r="G502" s="20"/>
    </row>
    <row r="503" spans="1:7" ht="13.2">
      <c r="A503" s="26"/>
      <c r="B503" s="20"/>
      <c r="C503" s="20"/>
      <c r="D503" s="20"/>
      <c r="E503" s="20"/>
      <c r="F503" s="21"/>
      <c r="G503" s="20"/>
    </row>
    <row r="504" spans="1:7" ht="13.2">
      <c r="A504" s="26"/>
      <c r="B504" s="20"/>
      <c r="C504" s="20"/>
      <c r="D504" s="20"/>
      <c r="E504" s="20"/>
      <c r="F504" s="21"/>
      <c r="G504" s="20"/>
    </row>
    <row r="505" spans="1:7" ht="13.2">
      <c r="A505" s="26"/>
      <c r="B505" s="20"/>
      <c r="C505" s="20"/>
      <c r="D505" s="20"/>
      <c r="E505" s="20"/>
      <c r="F505" s="21"/>
      <c r="G505" s="20"/>
    </row>
    <row r="506" spans="1:7" ht="13.2">
      <c r="A506" s="26"/>
      <c r="B506" s="20"/>
      <c r="C506" s="20"/>
      <c r="D506" s="20"/>
      <c r="E506" s="20"/>
      <c r="F506" s="21"/>
      <c r="G506" s="20"/>
    </row>
    <row r="507" spans="1:7" ht="13.2">
      <c r="A507" s="26"/>
      <c r="B507" s="20"/>
      <c r="C507" s="20"/>
      <c r="D507" s="20"/>
      <c r="E507" s="20"/>
      <c r="F507" s="21"/>
      <c r="G507" s="20"/>
    </row>
    <row r="508" spans="1:7" ht="13.2">
      <c r="A508" s="26"/>
      <c r="B508" s="20"/>
      <c r="C508" s="20"/>
      <c r="D508" s="20"/>
      <c r="E508" s="20"/>
      <c r="F508" s="21"/>
      <c r="G508" s="20"/>
    </row>
    <row r="509" spans="1:7" ht="13.2">
      <c r="A509" s="26"/>
      <c r="B509" s="20"/>
      <c r="C509" s="20"/>
      <c r="D509" s="20"/>
      <c r="E509" s="20"/>
      <c r="F509" s="21"/>
      <c r="G509" s="20"/>
    </row>
    <row r="510" spans="1:7" ht="13.2">
      <c r="A510" s="26"/>
      <c r="B510" s="20"/>
      <c r="C510" s="20"/>
      <c r="D510" s="20"/>
      <c r="E510" s="20"/>
      <c r="F510" s="21"/>
      <c r="G510" s="20"/>
    </row>
    <row r="511" spans="1:7" ht="13.2">
      <c r="A511" s="26"/>
      <c r="B511" s="20"/>
      <c r="C511" s="20"/>
      <c r="D511" s="20"/>
      <c r="E511" s="20"/>
      <c r="F511" s="21"/>
      <c r="G511" s="20"/>
    </row>
    <row r="512" spans="1:7" ht="13.2">
      <c r="A512" s="26"/>
      <c r="B512" s="20"/>
      <c r="C512" s="20"/>
      <c r="D512" s="20"/>
      <c r="E512" s="20"/>
      <c r="F512" s="21"/>
      <c r="G512" s="20"/>
    </row>
    <row r="513" spans="1:7" ht="13.2">
      <c r="A513" s="26"/>
      <c r="B513" s="20"/>
      <c r="C513" s="20"/>
      <c r="D513" s="20"/>
      <c r="E513" s="20"/>
      <c r="F513" s="21"/>
      <c r="G513" s="20"/>
    </row>
    <row r="514" spans="1:7" ht="13.2">
      <c r="A514" s="26"/>
      <c r="B514" s="20"/>
      <c r="C514" s="20"/>
      <c r="D514" s="20"/>
      <c r="E514" s="20"/>
      <c r="F514" s="21"/>
      <c r="G514" s="20"/>
    </row>
    <row r="515" spans="1:7" ht="13.2">
      <c r="A515" s="26"/>
      <c r="B515" s="20"/>
      <c r="C515" s="20"/>
      <c r="D515" s="20"/>
      <c r="E515" s="20"/>
      <c r="F515" s="21"/>
      <c r="G515" s="20"/>
    </row>
    <row r="516" spans="1:7" ht="13.2">
      <c r="A516" s="26"/>
      <c r="B516" s="20"/>
      <c r="C516" s="20"/>
      <c r="D516" s="20"/>
      <c r="E516" s="20"/>
      <c r="F516" s="21"/>
      <c r="G516" s="20"/>
    </row>
    <row r="517" spans="1:7" ht="13.2">
      <c r="A517" s="26"/>
      <c r="B517" s="20"/>
      <c r="C517" s="20"/>
      <c r="D517" s="20"/>
      <c r="E517" s="20"/>
      <c r="F517" s="21"/>
      <c r="G517" s="20"/>
    </row>
    <row r="518" spans="1:7" ht="13.2">
      <c r="A518" s="26"/>
      <c r="B518" s="20"/>
      <c r="C518" s="20"/>
      <c r="D518" s="20"/>
      <c r="E518" s="20"/>
      <c r="F518" s="21"/>
      <c r="G518" s="20"/>
    </row>
    <row r="519" spans="1:7" ht="13.2">
      <c r="A519" s="26"/>
      <c r="B519" s="20"/>
      <c r="C519" s="20"/>
      <c r="D519" s="20"/>
      <c r="E519" s="20"/>
      <c r="F519" s="21"/>
      <c r="G519" s="20"/>
    </row>
    <row r="520" spans="1:7" ht="13.2">
      <c r="A520" s="26"/>
      <c r="B520" s="20"/>
      <c r="C520" s="20"/>
      <c r="D520" s="20"/>
      <c r="E520" s="20"/>
      <c r="F520" s="21"/>
      <c r="G520" s="20"/>
    </row>
    <row r="521" spans="1:7" ht="13.2">
      <c r="A521" s="26"/>
      <c r="B521" s="20"/>
      <c r="C521" s="20"/>
      <c r="D521" s="20"/>
      <c r="E521" s="20"/>
      <c r="F521" s="21"/>
      <c r="G521" s="20"/>
    </row>
    <row r="522" spans="1:7" ht="13.2">
      <c r="A522" s="26"/>
      <c r="B522" s="20"/>
      <c r="C522" s="20"/>
      <c r="D522" s="20"/>
      <c r="E522" s="20"/>
      <c r="F522" s="21"/>
      <c r="G522" s="20"/>
    </row>
    <row r="523" spans="1:7" ht="13.2">
      <c r="A523" s="26"/>
      <c r="B523" s="20"/>
      <c r="C523" s="20"/>
      <c r="D523" s="20"/>
      <c r="E523" s="20"/>
      <c r="F523" s="21"/>
      <c r="G523" s="20"/>
    </row>
    <row r="524" spans="1:7" ht="13.2">
      <c r="A524" s="26"/>
      <c r="B524" s="20"/>
      <c r="C524" s="20"/>
      <c r="D524" s="20"/>
      <c r="E524" s="20"/>
      <c r="F524" s="21"/>
      <c r="G524" s="20"/>
    </row>
    <row r="525" spans="1:7" ht="13.2">
      <c r="A525" s="26"/>
      <c r="B525" s="20"/>
      <c r="C525" s="20"/>
      <c r="D525" s="20"/>
      <c r="E525" s="20"/>
      <c r="F525" s="21"/>
      <c r="G525" s="20"/>
    </row>
    <row r="526" spans="1:7" ht="13.2">
      <c r="A526" s="26"/>
      <c r="B526" s="20"/>
      <c r="C526" s="20"/>
      <c r="D526" s="20"/>
      <c r="E526" s="20"/>
      <c r="F526" s="21"/>
      <c r="G526" s="20"/>
    </row>
    <row r="527" spans="1:7" ht="13.2">
      <c r="A527" s="26"/>
      <c r="B527" s="20"/>
      <c r="C527" s="20"/>
      <c r="D527" s="20"/>
      <c r="E527" s="20"/>
      <c r="F527" s="21"/>
      <c r="G527" s="20"/>
    </row>
    <row r="528" spans="1:7" ht="13.2">
      <c r="A528" s="26"/>
      <c r="B528" s="20"/>
      <c r="C528" s="20"/>
      <c r="D528" s="20"/>
      <c r="E528" s="20"/>
      <c r="F528" s="21"/>
      <c r="G528" s="20"/>
    </row>
    <row r="529" spans="1:7" ht="13.2">
      <c r="A529" s="26"/>
      <c r="B529" s="20"/>
      <c r="C529" s="20"/>
      <c r="D529" s="20"/>
      <c r="E529" s="20"/>
      <c r="F529" s="21"/>
      <c r="G529" s="20"/>
    </row>
    <row r="530" spans="1:7" ht="13.2">
      <c r="A530" s="26"/>
      <c r="B530" s="20"/>
      <c r="C530" s="20"/>
      <c r="D530" s="20"/>
      <c r="E530" s="20"/>
      <c r="F530" s="21"/>
      <c r="G530" s="20"/>
    </row>
    <row r="531" spans="1:7" ht="13.2">
      <c r="A531" s="26"/>
      <c r="B531" s="20"/>
      <c r="C531" s="20"/>
      <c r="D531" s="20"/>
      <c r="E531" s="20"/>
      <c r="F531" s="21"/>
      <c r="G531" s="20"/>
    </row>
    <row r="532" spans="1:7" ht="13.2">
      <c r="A532" s="26"/>
      <c r="B532" s="20"/>
      <c r="C532" s="20"/>
      <c r="D532" s="20"/>
      <c r="E532" s="20"/>
      <c r="F532" s="21"/>
      <c r="G532" s="20"/>
    </row>
    <row r="533" spans="1:7" ht="13.2">
      <c r="A533" s="26"/>
      <c r="B533" s="20"/>
      <c r="C533" s="20"/>
      <c r="D533" s="20"/>
      <c r="E533" s="20"/>
      <c r="F533" s="21"/>
      <c r="G533" s="20"/>
    </row>
    <row r="534" spans="1:7" ht="13.2">
      <c r="A534" s="26"/>
      <c r="B534" s="20"/>
      <c r="C534" s="20"/>
      <c r="D534" s="20"/>
      <c r="E534" s="20"/>
      <c r="F534" s="21"/>
      <c r="G534" s="20"/>
    </row>
    <row r="535" spans="1:7" ht="13.2">
      <c r="A535" s="26"/>
      <c r="B535" s="20"/>
      <c r="C535" s="20"/>
      <c r="D535" s="20"/>
      <c r="E535" s="20"/>
      <c r="F535" s="21"/>
      <c r="G535" s="20"/>
    </row>
    <row r="536" spans="1:7" ht="13.2">
      <c r="A536" s="26"/>
      <c r="B536" s="20"/>
      <c r="C536" s="20"/>
      <c r="D536" s="20"/>
      <c r="E536" s="20"/>
      <c r="F536" s="21"/>
      <c r="G536" s="20"/>
    </row>
    <row r="537" spans="1:7" ht="13.2">
      <c r="A537" s="26"/>
      <c r="B537" s="20"/>
      <c r="C537" s="20"/>
      <c r="D537" s="20"/>
      <c r="E537" s="20"/>
      <c r="F537" s="21"/>
      <c r="G537" s="20"/>
    </row>
    <row r="538" spans="1:7" ht="13.2">
      <c r="A538" s="26"/>
      <c r="B538" s="20"/>
      <c r="C538" s="20"/>
      <c r="D538" s="20"/>
      <c r="E538" s="20"/>
      <c r="F538" s="21"/>
      <c r="G538" s="20"/>
    </row>
    <row r="539" spans="1:7" ht="13.2">
      <c r="A539" s="26"/>
      <c r="B539" s="20"/>
      <c r="C539" s="20"/>
      <c r="D539" s="20"/>
      <c r="E539" s="20"/>
      <c r="F539" s="21"/>
      <c r="G539" s="20"/>
    </row>
    <row r="540" spans="1:7" ht="13.2">
      <c r="A540" s="26"/>
      <c r="B540" s="20"/>
      <c r="C540" s="20"/>
      <c r="D540" s="20"/>
      <c r="E540" s="20"/>
      <c r="F540" s="21"/>
      <c r="G540" s="20"/>
    </row>
    <row r="541" spans="1:7" ht="13.2">
      <c r="A541" s="26"/>
      <c r="B541" s="20"/>
      <c r="C541" s="20"/>
      <c r="D541" s="20"/>
      <c r="E541" s="20"/>
      <c r="F541" s="21"/>
      <c r="G541" s="20"/>
    </row>
    <row r="542" spans="1:7" ht="13.2">
      <c r="A542" s="26"/>
      <c r="B542" s="20"/>
      <c r="C542" s="20"/>
      <c r="D542" s="20"/>
      <c r="E542" s="20"/>
      <c r="F542" s="21"/>
      <c r="G542" s="20"/>
    </row>
    <row r="543" spans="1:7" ht="13.2">
      <c r="A543" s="26"/>
      <c r="B543" s="20"/>
      <c r="C543" s="20"/>
      <c r="D543" s="20"/>
      <c r="E543" s="20"/>
      <c r="F543" s="21"/>
      <c r="G543" s="20"/>
    </row>
    <row r="544" spans="1:7" ht="13.2">
      <c r="A544" s="26"/>
      <c r="B544" s="20"/>
      <c r="C544" s="20"/>
      <c r="D544" s="20"/>
      <c r="E544" s="20"/>
      <c r="F544" s="21"/>
      <c r="G544" s="20"/>
    </row>
    <row r="545" spans="1:7" ht="13.2">
      <c r="A545" s="26"/>
      <c r="B545" s="20"/>
      <c r="C545" s="20"/>
      <c r="D545" s="20"/>
      <c r="E545" s="20"/>
      <c r="F545" s="21"/>
      <c r="G545" s="20"/>
    </row>
    <row r="546" spans="1:7" ht="13.2">
      <c r="A546" s="26"/>
      <c r="B546" s="20"/>
      <c r="C546" s="20"/>
      <c r="D546" s="20"/>
      <c r="E546" s="20"/>
      <c r="F546" s="21"/>
      <c r="G546" s="20"/>
    </row>
    <row r="547" spans="1:7" ht="13.2">
      <c r="A547" s="26"/>
      <c r="B547" s="20"/>
      <c r="C547" s="20"/>
      <c r="D547" s="20"/>
      <c r="E547" s="20"/>
      <c r="F547" s="21"/>
      <c r="G547" s="20"/>
    </row>
    <row r="548" spans="1:7" ht="13.2">
      <c r="A548" s="26"/>
      <c r="B548" s="20"/>
      <c r="C548" s="20"/>
      <c r="D548" s="20"/>
      <c r="E548" s="20"/>
      <c r="F548" s="21"/>
      <c r="G548" s="20"/>
    </row>
    <row r="549" spans="1:7" ht="13.2">
      <c r="A549" s="26"/>
      <c r="B549" s="20"/>
      <c r="C549" s="20"/>
      <c r="D549" s="20"/>
      <c r="E549" s="20"/>
      <c r="F549" s="21"/>
      <c r="G549" s="20"/>
    </row>
    <row r="550" spans="1:7" ht="13.2">
      <c r="A550" s="26"/>
      <c r="B550" s="20"/>
      <c r="C550" s="20"/>
      <c r="D550" s="20"/>
      <c r="E550" s="20"/>
      <c r="F550" s="21"/>
      <c r="G550" s="20"/>
    </row>
    <row r="551" spans="1:7" ht="13.2">
      <c r="A551" s="26"/>
      <c r="B551" s="20"/>
      <c r="C551" s="20"/>
      <c r="D551" s="20"/>
      <c r="E551" s="20"/>
      <c r="F551" s="21"/>
      <c r="G551" s="20"/>
    </row>
    <row r="552" spans="1:7" ht="13.2">
      <c r="A552" s="26"/>
      <c r="B552" s="20"/>
      <c r="C552" s="20"/>
      <c r="D552" s="20"/>
      <c r="E552" s="20"/>
      <c r="F552" s="21"/>
      <c r="G552" s="20"/>
    </row>
    <row r="553" spans="1:7" ht="13.2">
      <c r="A553" s="26"/>
      <c r="B553" s="20"/>
      <c r="C553" s="20"/>
      <c r="D553" s="20"/>
      <c r="E553" s="20"/>
      <c r="F553" s="21"/>
      <c r="G553" s="20"/>
    </row>
    <row r="554" spans="1:7" ht="13.2">
      <c r="A554" s="26"/>
      <c r="B554" s="20"/>
      <c r="C554" s="20"/>
      <c r="D554" s="20"/>
      <c r="E554" s="20"/>
      <c r="F554" s="21"/>
      <c r="G554" s="20"/>
    </row>
    <row r="555" spans="1:7" ht="13.2">
      <c r="A555" s="26"/>
      <c r="B555" s="20"/>
      <c r="C555" s="20"/>
      <c r="D555" s="20"/>
      <c r="E555" s="20"/>
      <c r="F555" s="21"/>
      <c r="G555" s="20"/>
    </row>
    <row r="556" spans="1:7" ht="13.2">
      <c r="A556" s="26"/>
      <c r="B556" s="20"/>
      <c r="C556" s="20"/>
      <c r="D556" s="20"/>
      <c r="E556" s="20"/>
      <c r="F556" s="21"/>
      <c r="G556" s="20"/>
    </row>
    <row r="557" spans="1:7" ht="13.2">
      <c r="A557" s="26"/>
      <c r="B557" s="20"/>
      <c r="C557" s="20"/>
      <c r="D557" s="20"/>
      <c r="E557" s="20"/>
      <c r="F557" s="21"/>
      <c r="G557" s="20"/>
    </row>
    <row r="558" spans="1:7" ht="13.2">
      <c r="A558" s="26"/>
      <c r="B558" s="20"/>
      <c r="C558" s="20"/>
      <c r="D558" s="20"/>
      <c r="E558" s="20"/>
      <c r="F558" s="21"/>
      <c r="G558" s="20"/>
    </row>
    <row r="559" spans="1:7" ht="13.2">
      <c r="A559" s="26"/>
      <c r="B559" s="20"/>
      <c r="C559" s="20"/>
      <c r="D559" s="20"/>
      <c r="E559" s="20"/>
      <c r="F559" s="21"/>
      <c r="G559" s="20"/>
    </row>
    <row r="560" spans="1:7" ht="13.2">
      <c r="A560" s="26"/>
      <c r="B560" s="20"/>
      <c r="C560" s="20"/>
      <c r="D560" s="20"/>
      <c r="E560" s="20"/>
      <c r="F560" s="21"/>
      <c r="G560" s="20"/>
    </row>
    <row r="561" spans="1:7" ht="13.2">
      <c r="A561" s="26"/>
      <c r="B561" s="20"/>
      <c r="C561" s="20"/>
      <c r="D561" s="20"/>
      <c r="E561" s="20"/>
      <c r="F561" s="21"/>
      <c r="G561" s="20"/>
    </row>
    <row r="562" spans="1:7" ht="13.2">
      <c r="A562" s="26"/>
      <c r="B562" s="20"/>
      <c r="C562" s="20"/>
      <c r="D562" s="20"/>
      <c r="E562" s="20"/>
      <c r="F562" s="21"/>
      <c r="G562" s="20"/>
    </row>
    <row r="563" spans="1:7" ht="13.2">
      <c r="A563" s="26"/>
      <c r="B563" s="20"/>
      <c r="C563" s="20"/>
      <c r="D563" s="20"/>
      <c r="E563" s="20"/>
      <c r="F563" s="21"/>
      <c r="G563" s="20"/>
    </row>
    <row r="564" spans="1:7" ht="13.2">
      <c r="A564" s="26"/>
      <c r="B564" s="20"/>
      <c r="C564" s="20"/>
      <c r="D564" s="20"/>
      <c r="E564" s="20"/>
      <c r="F564" s="21"/>
      <c r="G564" s="20"/>
    </row>
    <row r="565" spans="1:7" ht="13.2">
      <c r="A565" s="26"/>
      <c r="B565" s="20"/>
      <c r="C565" s="20"/>
      <c r="D565" s="20"/>
      <c r="E565" s="20"/>
      <c r="F565" s="21"/>
      <c r="G565" s="20"/>
    </row>
    <row r="566" spans="1:7" ht="13.2">
      <c r="A566" s="26"/>
      <c r="B566" s="20"/>
      <c r="C566" s="20"/>
      <c r="D566" s="20"/>
      <c r="E566" s="20"/>
      <c r="F566" s="21"/>
      <c r="G566" s="20"/>
    </row>
    <row r="567" spans="1:7" ht="13.2">
      <c r="A567" s="26"/>
      <c r="B567" s="20"/>
      <c r="C567" s="20"/>
      <c r="D567" s="20"/>
      <c r="E567" s="20"/>
      <c r="F567" s="21"/>
      <c r="G567" s="20"/>
    </row>
    <row r="568" spans="1:7" ht="13.2">
      <c r="A568" s="26"/>
      <c r="B568" s="20"/>
      <c r="C568" s="20"/>
      <c r="D568" s="20"/>
      <c r="E568" s="20"/>
      <c r="F568" s="21"/>
      <c r="G568" s="20"/>
    </row>
    <row r="569" spans="1:7" ht="13.2">
      <c r="A569" s="26"/>
      <c r="B569" s="20"/>
      <c r="C569" s="20"/>
      <c r="D569" s="20"/>
      <c r="E569" s="20"/>
      <c r="F569" s="21"/>
      <c r="G569" s="20"/>
    </row>
    <row r="570" spans="1:7" ht="13.2">
      <c r="A570" s="26"/>
      <c r="B570" s="20"/>
      <c r="C570" s="20"/>
      <c r="D570" s="20"/>
      <c r="E570" s="20"/>
      <c r="F570" s="21"/>
      <c r="G570" s="20"/>
    </row>
    <row r="571" spans="1:7" ht="13.2">
      <c r="A571" s="26"/>
      <c r="B571" s="20"/>
      <c r="C571" s="20"/>
      <c r="D571" s="20"/>
      <c r="E571" s="20"/>
      <c r="F571" s="21"/>
      <c r="G571" s="20"/>
    </row>
    <row r="572" spans="1:7" ht="13.2">
      <c r="A572" s="26"/>
      <c r="B572" s="20"/>
      <c r="C572" s="20"/>
      <c r="D572" s="20"/>
      <c r="E572" s="20"/>
      <c r="F572" s="21"/>
      <c r="G572" s="20"/>
    </row>
    <row r="573" spans="1:7" ht="13.2">
      <c r="A573" s="26"/>
      <c r="B573" s="20"/>
      <c r="C573" s="20"/>
      <c r="D573" s="20"/>
      <c r="E573" s="20"/>
      <c r="F573" s="21"/>
      <c r="G573" s="20"/>
    </row>
    <row r="574" spans="1:7" ht="13.2">
      <c r="A574" s="26"/>
      <c r="B574" s="20"/>
      <c r="C574" s="20"/>
      <c r="D574" s="20"/>
      <c r="E574" s="20"/>
      <c r="F574" s="21"/>
      <c r="G574" s="20"/>
    </row>
    <row r="575" spans="1:7" ht="13.2">
      <c r="A575" s="26"/>
      <c r="B575" s="20"/>
      <c r="C575" s="20"/>
      <c r="D575" s="20"/>
      <c r="E575" s="20"/>
      <c r="F575" s="21"/>
      <c r="G575" s="20"/>
    </row>
    <row r="576" spans="1:7" ht="13.2">
      <c r="A576" s="26"/>
      <c r="B576" s="20"/>
      <c r="C576" s="20"/>
      <c r="D576" s="20"/>
      <c r="E576" s="20"/>
      <c r="F576" s="21"/>
      <c r="G576" s="20"/>
    </row>
    <row r="577" spans="1:7" ht="13.2">
      <c r="A577" s="26"/>
      <c r="B577" s="20"/>
      <c r="C577" s="20"/>
      <c r="D577" s="20"/>
      <c r="E577" s="20"/>
      <c r="F577" s="21"/>
      <c r="G577" s="20"/>
    </row>
    <row r="578" spans="1:7" ht="13.2">
      <c r="A578" s="26"/>
      <c r="B578" s="20"/>
      <c r="C578" s="20"/>
      <c r="D578" s="20"/>
      <c r="E578" s="20"/>
      <c r="F578" s="21"/>
      <c r="G578" s="20"/>
    </row>
    <row r="579" spans="1:7" ht="13.2">
      <c r="A579" s="26"/>
      <c r="B579" s="20"/>
      <c r="C579" s="20"/>
      <c r="D579" s="20"/>
      <c r="E579" s="20"/>
      <c r="F579" s="21"/>
      <c r="G579" s="20"/>
    </row>
    <row r="580" spans="1:7" ht="13.2">
      <c r="A580" s="26"/>
      <c r="B580" s="20"/>
      <c r="C580" s="20"/>
      <c r="D580" s="20"/>
      <c r="E580" s="20"/>
      <c r="F580" s="21"/>
      <c r="G580" s="20"/>
    </row>
    <row r="581" spans="1:7" ht="13.2">
      <c r="A581" s="26"/>
      <c r="B581" s="20"/>
      <c r="C581" s="20"/>
      <c r="D581" s="20"/>
      <c r="E581" s="20"/>
      <c r="F581" s="21"/>
      <c r="G581" s="20"/>
    </row>
    <row r="582" spans="1:7" ht="13.2">
      <c r="A582" s="26"/>
      <c r="B582" s="20"/>
      <c r="C582" s="20"/>
      <c r="D582" s="20"/>
      <c r="E582" s="20"/>
      <c r="F582" s="21"/>
      <c r="G582" s="20"/>
    </row>
    <row r="583" spans="1:7" ht="13.2">
      <c r="A583" s="26"/>
      <c r="B583" s="20"/>
      <c r="C583" s="20"/>
      <c r="D583" s="20"/>
      <c r="E583" s="20"/>
      <c r="F583" s="21"/>
      <c r="G583" s="20"/>
    </row>
    <row r="584" spans="1:7" ht="13.2">
      <c r="A584" s="26"/>
      <c r="B584" s="20"/>
      <c r="C584" s="20"/>
      <c r="D584" s="20"/>
      <c r="E584" s="20"/>
      <c r="F584" s="21"/>
      <c r="G584" s="20"/>
    </row>
    <row r="585" spans="1:7" ht="13.2">
      <c r="A585" s="26"/>
      <c r="B585" s="20"/>
      <c r="C585" s="20"/>
      <c r="D585" s="20"/>
      <c r="E585" s="20"/>
      <c r="F585" s="21"/>
      <c r="G585" s="20"/>
    </row>
    <row r="586" spans="1:7" ht="13.2">
      <c r="A586" s="26"/>
      <c r="B586" s="20"/>
      <c r="C586" s="20"/>
      <c r="D586" s="20"/>
      <c r="E586" s="20"/>
      <c r="F586" s="21"/>
      <c r="G586" s="20"/>
    </row>
    <row r="587" spans="1:7" ht="13.2">
      <c r="A587" s="26"/>
      <c r="B587" s="20"/>
      <c r="C587" s="20"/>
      <c r="D587" s="20"/>
      <c r="E587" s="20"/>
      <c r="F587" s="21"/>
      <c r="G587" s="20"/>
    </row>
    <row r="588" spans="1:7" ht="13.2">
      <c r="A588" s="26"/>
      <c r="B588" s="20"/>
      <c r="C588" s="20"/>
      <c r="D588" s="20"/>
      <c r="E588" s="20"/>
      <c r="F588" s="21"/>
      <c r="G588" s="20"/>
    </row>
    <row r="589" spans="1:7" ht="13.2">
      <c r="A589" s="26"/>
      <c r="B589" s="20"/>
      <c r="C589" s="20"/>
      <c r="D589" s="20"/>
      <c r="E589" s="20"/>
      <c r="F589" s="21"/>
      <c r="G589" s="20"/>
    </row>
    <row r="590" spans="1:7" ht="13.2">
      <c r="A590" s="26"/>
      <c r="B590" s="20"/>
      <c r="C590" s="20"/>
      <c r="D590" s="20"/>
      <c r="E590" s="20"/>
      <c r="F590" s="21"/>
      <c r="G590" s="20"/>
    </row>
    <row r="591" spans="1:7" ht="13.2">
      <c r="A591" s="26"/>
      <c r="B591" s="20"/>
      <c r="C591" s="20"/>
      <c r="D591" s="20"/>
      <c r="E591" s="20"/>
      <c r="F591" s="21"/>
      <c r="G591" s="20"/>
    </row>
    <row r="592" spans="1:7" ht="13.2">
      <c r="A592" s="26"/>
      <c r="B592" s="20"/>
      <c r="C592" s="20"/>
      <c r="D592" s="20"/>
      <c r="E592" s="20"/>
      <c r="F592" s="21"/>
      <c r="G592" s="20"/>
    </row>
    <row r="593" spans="1:7" ht="13.2">
      <c r="A593" s="26"/>
      <c r="B593" s="20"/>
      <c r="C593" s="20"/>
      <c r="D593" s="20"/>
      <c r="E593" s="20"/>
      <c r="F593" s="21"/>
      <c r="G593" s="20"/>
    </row>
    <row r="594" spans="1:7" ht="13.2">
      <c r="A594" s="26"/>
      <c r="B594" s="20"/>
      <c r="C594" s="20"/>
      <c r="D594" s="20"/>
      <c r="E594" s="20"/>
      <c r="F594" s="21"/>
      <c r="G594" s="20"/>
    </row>
    <row r="595" spans="1:7" ht="13.2">
      <c r="A595" s="26"/>
      <c r="B595" s="20"/>
      <c r="C595" s="20"/>
      <c r="D595" s="20"/>
      <c r="E595" s="20"/>
      <c r="F595" s="21"/>
      <c r="G595" s="20"/>
    </row>
    <row r="596" spans="1:7" ht="13.2">
      <c r="A596" s="26"/>
      <c r="B596" s="20"/>
      <c r="C596" s="20"/>
      <c r="D596" s="20"/>
      <c r="E596" s="20"/>
      <c r="F596" s="21"/>
      <c r="G596" s="20"/>
    </row>
    <row r="597" spans="1:7" ht="13.2">
      <c r="A597" s="26"/>
      <c r="B597" s="20"/>
      <c r="C597" s="20"/>
      <c r="D597" s="20"/>
      <c r="E597" s="20"/>
      <c r="F597" s="21"/>
      <c r="G597" s="20"/>
    </row>
    <row r="598" spans="1:7" ht="13.2">
      <c r="A598" s="26"/>
      <c r="B598" s="20"/>
      <c r="C598" s="20"/>
      <c r="D598" s="20"/>
      <c r="E598" s="20"/>
      <c r="F598" s="21"/>
      <c r="G598" s="20"/>
    </row>
    <row r="599" spans="1:7" ht="13.2">
      <c r="A599" s="26"/>
      <c r="B599" s="20"/>
      <c r="C599" s="20"/>
      <c r="D599" s="20"/>
      <c r="E599" s="20"/>
      <c r="F599" s="21"/>
      <c r="G599" s="20"/>
    </row>
    <row r="600" spans="1:7" ht="13.2">
      <c r="A600" s="26"/>
      <c r="B600" s="20"/>
      <c r="C600" s="20"/>
      <c r="D600" s="20"/>
      <c r="E600" s="20"/>
      <c r="F600" s="21"/>
      <c r="G600" s="20"/>
    </row>
    <row r="601" spans="1:7" ht="13.2">
      <c r="A601" s="26"/>
      <c r="B601" s="20"/>
      <c r="C601" s="20"/>
      <c r="D601" s="20"/>
      <c r="E601" s="20"/>
      <c r="F601" s="21"/>
      <c r="G601" s="20"/>
    </row>
    <row r="602" spans="1:7" ht="13.2">
      <c r="A602" s="26"/>
      <c r="B602" s="20"/>
      <c r="C602" s="20"/>
      <c r="D602" s="20"/>
      <c r="E602" s="20"/>
      <c r="F602" s="21"/>
      <c r="G602" s="20"/>
    </row>
    <row r="603" spans="1:7" ht="13.2">
      <c r="A603" s="26"/>
      <c r="B603" s="20"/>
      <c r="C603" s="20"/>
      <c r="D603" s="20"/>
      <c r="E603" s="20"/>
      <c r="F603" s="21"/>
      <c r="G603" s="20"/>
    </row>
    <row r="604" spans="1:7" ht="13.2">
      <c r="A604" s="26"/>
      <c r="B604" s="20"/>
      <c r="C604" s="20"/>
      <c r="D604" s="20"/>
      <c r="E604" s="20"/>
      <c r="F604" s="21"/>
      <c r="G604" s="20"/>
    </row>
    <row r="605" spans="1:7" ht="13.2">
      <c r="A605" s="26"/>
      <c r="B605" s="20"/>
      <c r="C605" s="20"/>
      <c r="D605" s="20"/>
      <c r="E605" s="20"/>
      <c r="F605" s="21"/>
      <c r="G605" s="20"/>
    </row>
    <row r="606" spans="1:7" ht="13.2">
      <c r="A606" s="26"/>
      <c r="B606" s="20"/>
      <c r="C606" s="20"/>
      <c r="D606" s="20"/>
      <c r="E606" s="20"/>
      <c r="F606" s="21"/>
      <c r="G606" s="20"/>
    </row>
    <row r="607" spans="1:7" ht="13.2">
      <c r="A607" s="26"/>
      <c r="B607" s="20"/>
      <c r="C607" s="20"/>
      <c r="D607" s="20"/>
      <c r="E607" s="20"/>
      <c r="F607" s="21"/>
      <c r="G607" s="20"/>
    </row>
    <row r="608" spans="1:7" ht="13.2">
      <c r="A608" s="26"/>
      <c r="B608" s="20"/>
      <c r="C608" s="20"/>
      <c r="D608" s="20"/>
      <c r="E608" s="20"/>
      <c r="F608" s="21"/>
      <c r="G608" s="20"/>
    </row>
    <row r="609" spans="1:7" ht="13.2">
      <c r="A609" s="26"/>
      <c r="B609" s="20"/>
      <c r="C609" s="20"/>
      <c r="D609" s="20"/>
      <c r="E609" s="20"/>
      <c r="F609" s="21"/>
      <c r="G609" s="20"/>
    </row>
    <row r="610" spans="1:7" ht="13.2">
      <c r="A610" s="26"/>
      <c r="B610" s="20"/>
      <c r="C610" s="20"/>
      <c r="D610" s="20"/>
      <c r="E610" s="20"/>
      <c r="F610" s="21"/>
      <c r="G610" s="20"/>
    </row>
    <row r="611" spans="1:7" ht="13.2">
      <c r="A611" s="26"/>
      <c r="B611" s="20"/>
      <c r="C611" s="20"/>
      <c r="D611" s="20"/>
      <c r="E611" s="20"/>
      <c r="F611" s="21"/>
      <c r="G611" s="20"/>
    </row>
    <row r="612" spans="1:7" ht="13.2">
      <c r="A612" s="26"/>
      <c r="B612" s="20"/>
      <c r="C612" s="20"/>
      <c r="D612" s="20"/>
      <c r="E612" s="20"/>
      <c r="F612" s="21"/>
      <c r="G612" s="20"/>
    </row>
    <row r="613" spans="1:7" ht="13.2">
      <c r="A613" s="26"/>
      <c r="B613" s="20"/>
      <c r="C613" s="20"/>
      <c r="D613" s="20"/>
      <c r="E613" s="20"/>
      <c r="F613" s="21"/>
      <c r="G613" s="20"/>
    </row>
    <row r="614" spans="1:7" ht="13.2">
      <c r="A614" s="26"/>
      <c r="B614" s="20"/>
      <c r="C614" s="20"/>
      <c r="D614" s="20"/>
      <c r="E614" s="20"/>
      <c r="F614" s="21"/>
      <c r="G614" s="20"/>
    </row>
    <row r="615" spans="1:7" ht="13.2">
      <c r="A615" s="26"/>
      <c r="B615" s="20"/>
      <c r="C615" s="20"/>
      <c r="D615" s="20"/>
      <c r="E615" s="20"/>
      <c r="F615" s="21"/>
      <c r="G615" s="20"/>
    </row>
    <row r="616" spans="1:7" ht="13.2">
      <c r="A616" s="26"/>
      <c r="B616" s="20"/>
      <c r="C616" s="20"/>
      <c r="D616" s="20"/>
      <c r="E616" s="20"/>
      <c r="F616" s="21"/>
      <c r="G616" s="20"/>
    </row>
    <row r="617" spans="1:7" ht="13.2">
      <c r="A617" s="26"/>
      <c r="B617" s="20"/>
      <c r="C617" s="20"/>
      <c r="D617" s="20"/>
      <c r="E617" s="20"/>
      <c r="F617" s="21"/>
      <c r="G617" s="20"/>
    </row>
    <row r="618" spans="1:7" ht="13.2">
      <c r="A618" s="26"/>
      <c r="B618" s="20"/>
      <c r="C618" s="20"/>
      <c r="D618" s="20"/>
      <c r="E618" s="20"/>
      <c r="F618" s="21"/>
      <c r="G618" s="20"/>
    </row>
    <row r="619" spans="1:7" ht="13.2">
      <c r="A619" s="26"/>
      <c r="B619" s="20"/>
      <c r="C619" s="20"/>
      <c r="D619" s="20"/>
      <c r="E619" s="20"/>
      <c r="F619" s="21"/>
      <c r="G619" s="20"/>
    </row>
    <row r="620" spans="1:7" ht="13.2">
      <c r="A620" s="26"/>
      <c r="B620" s="20"/>
      <c r="C620" s="20"/>
      <c r="D620" s="20"/>
      <c r="E620" s="20"/>
      <c r="F620" s="21"/>
      <c r="G620" s="20"/>
    </row>
    <row r="621" spans="1:7" ht="13.2">
      <c r="A621" s="26"/>
      <c r="B621" s="20"/>
      <c r="C621" s="20"/>
      <c r="D621" s="20"/>
      <c r="E621" s="20"/>
      <c r="F621" s="21"/>
      <c r="G621" s="20"/>
    </row>
    <row r="622" spans="1:7" ht="13.2">
      <c r="A622" s="26"/>
      <c r="B622" s="20"/>
      <c r="C622" s="20"/>
      <c r="D622" s="20"/>
      <c r="E622" s="20"/>
      <c r="F622" s="21"/>
      <c r="G622" s="20"/>
    </row>
    <row r="623" spans="1:7" ht="13.2">
      <c r="A623" s="26"/>
      <c r="B623" s="20"/>
      <c r="C623" s="20"/>
      <c r="D623" s="20"/>
      <c r="E623" s="20"/>
      <c r="F623" s="21"/>
      <c r="G623" s="20"/>
    </row>
    <row r="624" spans="1:7" ht="13.2">
      <c r="A624" s="26"/>
      <c r="B624" s="20"/>
      <c r="C624" s="20"/>
      <c r="D624" s="20"/>
      <c r="E624" s="20"/>
      <c r="F624" s="21"/>
      <c r="G624" s="20"/>
    </row>
    <row r="625" spans="1:7" ht="13.2">
      <c r="A625" s="26"/>
      <c r="B625" s="20"/>
      <c r="C625" s="20"/>
      <c r="D625" s="20"/>
      <c r="E625" s="20"/>
      <c r="F625" s="21"/>
      <c r="G625" s="20"/>
    </row>
    <row r="626" spans="1:7" ht="13.2">
      <c r="A626" s="26"/>
      <c r="B626" s="20"/>
      <c r="C626" s="20"/>
      <c r="D626" s="20"/>
      <c r="E626" s="20"/>
      <c r="F626" s="21"/>
      <c r="G626" s="20"/>
    </row>
    <row r="627" spans="1:7" ht="13.2">
      <c r="A627" s="26"/>
      <c r="B627" s="20"/>
      <c r="C627" s="20"/>
      <c r="D627" s="20"/>
      <c r="E627" s="20"/>
      <c r="F627" s="21"/>
      <c r="G627" s="20"/>
    </row>
    <row r="628" spans="1:7" ht="13.2">
      <c r="A628" s="26"/>
      <c r="B628" s="20"/>
      <c r="C628" s="20"/>
      <c r="D628" s="20"/>
      <c r="E628" s="20"/>
      <c r="F628" s="21"/>
      <c r="G628" s="20"/>
    </row>
    <row r="629" spans="1:7" ht="13.2">
      <c r="A629" s="26"/>
      <c r="B629" s="20"/>
      <c r="C629" s="20"/>
      <c r="D629" s="20"/>
      <c r="E629" s="20"/>
      <c r="F629" s="21"/>
      <c r="G629" s="20"/>
    </row>
    <row r="630" spans="1:7" ht="13.2">
      <c r="A630" s="26"/>
      <c r="B630" s="20"/>
      <c r="C630" s="20"/>
      <c r="D630" s="20"/>
      <c r="E630" s="20"/>
      <c r="F630" s="21"/>
      <c r="G630" s="20"/>
    </row>
    <row r="631" spans="1:7" ht="13.2">
      <c r="A631" s="26"/>
      <c r="B631" s="20"/>
      <c r="C631" s="20"/>
      <c r="D631" s="20"/>
      <c r="E631" s="20"/>
      <c r="F631" s="21"/>
      <c r="G631" s="20"/>
    </row>
    <row r="632" spans="1:7" ht="13.2">
      <c r="A632" s="26"/>
      <c r="B632" s="20"/>
      <c r="C632" s="20"/>
      <c r="D632" s="20"/>
      <c r="E632" s="20"/>
      <c r="F632" s="21"/>
      <c r="G632" s="20"/>
    </row>
    <row r="633" spans="1:7" ht="13.2">
      <c r="A633" s="26"/>
      <c r="B633" s="20"/>
      <c r="C633" s="20"/>
      <c r="D633" s="20"/>
      <c r="E633" s="20"/>
      <c r="F633" s="21"/>
      <c r="G633" s="20"/>
    </row>
    <row r="634" spans="1:7" ht="13.2">
      <c r="A634" s="26"/>
      <c r="B634" s="20"/>
      <c r="C634" s="20"/>
      <c r="D634" s="20"/>
      <c r="E634" s="20"/>
      <c r="F634" s="21"/>
      <c r="G634" s="20"/>
    </row>
    <row r="635" spans="1:7" ht="13.2">
      <c r="A635" s="26"/>
      <c r="B635" s="20"/>
      <c r="C635" s="20"/>
      <c r="D635" s="20"/>
      <c r="E635" s="20"/>
      <c r="F635" s="21"/>
      <c r="G635" s="20"/>
    </row>
    <row r="636" spans="1:7" ht="13.2">
      <c r="A636" s="26"/>
      <c r="B636" s="20"/>
      <c r="C636" s="20"/>
      <c r="D636" s="20"/>
      <c r="E636" s="20"/>
      <c r="F636" s="21"/>
      <c r="G636" s="20"/>
    </row>
    <row r="637" spans="1:7" ht="13.2">
      <c r="A637" s="26"/>
      <c r="B637" s="20"/>
      <c r="C637" s="20"/>
      <c r="D637" s="20"/>
      <c r="E637" s="20"/>
      <c r="F637" s="21"/>
      <c r="G637" s="20"/>
    </row>
    <row r="638" spans="1:7" ht="13.2">
      <c r="A638" s="26"/>
      <c r="B638" s="20"/>
      <c r="C638" s="20"/>
      <c r="D638" s="20"/>
      <c r="E638" s="20"/>
      <c r="F638" s="21"/>
      <c r="G638" s="20"/>
    </row>
    <row r="639" spans="1:7" ht="13.2">
      <c r="A639" s="26"/>
      <c r="B639" s="20"/>
      <c r="C639" s="20"/>
      <c r="D639" s="20"/>
      <c r="E639" s="20"/>
      <c r="F639" s="21"/>
      <c r="G639" s="20"/>
    </row>
    <row r="640" spans="1:7" ht="13.2">
      <c r="A640" s="26"/>
      <c r="B640" s="20"/>
      <c r="C640" s="20"/>
      <c r="D640" s="20"/>
      <c r="E640" s="20"/>
      <c r="F640" s="21"/>
      <c r="G640" s="20"/>
    </row>
    <row r="641" spans="1:7" ht="13.2">
      <c r="A641" s="26"/>
      <c r="B641" s="20"/>
      <c r="C641" s="20"/>
      <c r="D641" s="20"/>
      <c r="E641" s="20"/>
      <c r="F641" s="21"/>
      <c r="G641" s="20"/>
    </row>
    <row r="642" spans="1:7" ht="13.2">
      <c r="A642" s="26"/>
      <c r="B642" s="20"/>
      <c r="C642" s="20"/>
      <c r="D642" s="20"/>
      <c r="E642" s="20"/>
      <c r="F642" s="21"/>
      <c r="G642" s="20"/>
    </row>
    <row r="643" spans="1:7" ht="13.2">
      <c r="A643" s="26"/>
      <c r="B643" s="20"/>
      <c r="C643" s="20"/>
      <c r="D643" s="20"/>
      <c r="E643" s="20"/>
      <c r="F643" s="21"/>
      <c r="G643" s="20"/>
    </row>
    <row r="644" spans="1:7" ht="13.2">
      <c r="A644" s="26"/>
      <c r="B644" s="20"/>
      <c r="C644" s="20"/>
      <c r="D644" s="20"/>
      <c r="E644" s="20"/>
      <c r="F644" s="21"/>
      <c r="G644" s="20"/>
    </row>
    <row r="645" spans="1:7" ht="13.2">
      <c r="A645" s="26"/>
      <c r="B645" s="20"/>
      <c r="C645" s="20"/>
      <c r="D645" s="20"/>
      <c r="E645" s="20"/>
      <c r="F645" s="21"/>
      <c r="G645" s="20"/>
    </row>
    <row r="646" spans="1:7" ht="13.2">
      <c r="A646" s="26"/>
      <c r="B646" s="20"/>
      <c r="C646" s="20"/>
      <c r="D646" s="20"/>
      <c r="E646" s="20"/>
      <c r="F646" s="21"/>
      <c r="G646" s="20"/>
    </row>
    <row r="647" spans="1:7" ht="13.2">
      <c r="A647" s="26"/>
      <c r="B647" s="20"/>
      <c r="C647" s="20"/>
      <c r="D647" s="20"/>
      <c r="E647" s="20"/>
      <c r="F647" s="21"/>
      <c r="G647" s="20"/>
    </row>
    <row r="648" spans="1:7" ht="13.2">
      <c r="A648" s="26"/>
      <c r="B648" s="20"/>
      <c r="C648" s="20"/>
      <c r="D648" s="20"/>
      <c r="E648" s="20"/>
      <c r="F648" s="21"/>
      <c r="G648" s="20"/>
    </row>
    <row r="649" spans="1:7" ht="13.2">
      <c r="A649" s="26"/>
      <c r="B649" s="20"/>
      <c r="C649" s="20"/>
      <c r="D649" s="20"/>
      <c r="E649" s="20"/>
      <c r="F649" s="21"/>
      <c r="G649" s="20"/>
    </row>
    <row r="650" spans="1:7" ht="13.2">
      <c r="A650" s="26"/>
      <c r="B650" s="20"/>
      <c r="C650" s="20"/>
      <c r="D650" s="20"/>
      <c r="E650" s="20"/>
      <c r="F650" s="21"/>
      <c r="G650" s="20"/>
    </row>
    <row r="651" spans="1:7" ht="13.2">
      <c r="A651" s="26"/>
      <c r="B651" s="20"/>
      <c r="C651" s="20"/>
      <c r="D651" s="20"/>
      <c r="E651" s="20"/>
      <c r="F651" s="21"/>
      <c r="G651" s="20"/>
    </row>
    <row r="652" spans="1:7" ht="13.2">
      <c r="A652" s="26"/>
      <c r="B652" s="20"/>
      <c r="C652" s="20"/>
      <c r="D652" s="20"/>
      <c r="E652" s="20"/>
      <c r="F652" s="21"/>
      <c r="G652" s="20"/>
    </row>
    <row r="653" spans="1:7" ht="13.2">
      <c r="A653" s="26"/>
      <c r="B653" s="20"/>
      <c r="C653" s="20"/>
      <c r="D653" s="20"/>
      <c r="E653" s="20"/>
      <c r="F653" s="21"/>
      <c r="G653" s="20"/>
    </row>
    <row r="654" spans="1:7" ht="13.2">
      <c r="A654" s="26"/>
      <c r="B654" s="20"/>
      <c r="C654" s="20"/>
      <c r="D654" s="20"/>
      <c r="E654" s="20"/>
      <c r="F654" s="21"/>
      <c r="G654" s="20"/>
    </row>
    <row r="655" spans="1:7" ht="13.2">
      <c r="A655" s="26"/>
      <c r="B655" s="20"/>
      <c r="C655" s="20"/>
      <c r="D655" s="20"/>
      <c r="E655" s="20"/>
      <c r="F655" s="21"/>
      <c r="G655" s="20"/>
    </row>
    <row r="656" spans="1:7" ht="13.2">
      <c r="A656" s="26"/>
      <c r="B656" s="20"/>
      <c r="C656" s="20"/>
      <c r="D656" s="20"/>
      <c r="E656" s="20"/>
      <c r="F656" s="21"/>
      <c r="G656" s="20"/>
    </row>
    <row r="657" spans="1:7" ht="13.2">
      <c r="A657" s="26"/>
      <c r="B657" s="20"/>
      <c r="C657" s="20"/>
      <c r="D657" s="20"/>
      <c r="E657" s="20"/>
      <c r="F657" s="21"/>
      <c r="G657" s="20"/>
    </row>
    <row r="658" spans="1:7" ht="13.2">
      <c r="A658" s="26"/>
      <c r="B658" s="20"/>
      <c r="C658" s="20"/>
      <c r="D658" s="20"/>
      <c r="E658" s="20"/>
      <c r="F658" s="21"/>
      <c r="G658" s="20"/>
    </row>
    <row r="659" spans="1:7" ht="13.2">
      <c r="A659" s="26"/>
      <c r="B659" s="20"/>
      <c r="C659" s="20"/>
      <c r="D659" s="20"/>
      <c r="E659" s="20"/>
      <c r="F659" s="21"/>
      <c r="G659" s="20"/>
    </row>
    <row r="660" spans="1:7" ht="13.2">
      <c r="A660" s="26"/>
      <c r="B660" s="20"/>
      <c r="C660" s="20"/>
      <c r="D660" s="20"/>
      <c r="E660" s="20"/>
      <c r="F660" s="21"/>
      <c r="G660" s="20"/>
    </row>
    <row r="661" spans="1:7" ht="13.2">
      <c r="A661" s="26"/>
      <c r="B661" s="20"/>
      <c r="C661" s="20"/>
      <c r="D661" s="20"/>
      <c r="E661" s="20"/>
      <c r="F661" s="21"/>
      <c r="G661" s="20"/>
    </row>
    <row r="662" spans="1:7" ht="13.2">
      <c r="A662" s="26"/>
      <c r="B662" s="20"/>
      <c r="C662" s="20"/>
      <c r="D662" s="20"/>
      <c r="E662" s="20"/>
      <c r="F662" s="21"/>
      <c r="G662" s="20"/>
    </row>
    <row r="663" spans="1:7" ht="13.2">
      <c r="A663" s="26"/>
      <c r="B663" s="20"/>
      <c r="C663" s="20"/>
      <c r="D663" s="20"/>
      <c r="E663" s="20"/>
      <c r="F663" s="21"/>
      <c r="G663" s="20"/>
    </row>
    <row r="664" spans="1:7" ht="13.2">
      <c r="A664" s="26"/>
      <c r="B664" s="20"/>
      <c r="C664" s="20"/>
      <c r="D664" s="20"/>
      <c r="E664" s="20"/>
      <c r="F664" s="21"/>
      <c r="G664" s="20"/>
    </row>
    <row r="665" spans="1:7" ht="13.2">
      <c r="A665" s="26"/>
      <c r="B665" s="20"/>
      <c r="C665" s="20"/>
      <c r="D665" s="20"/>
      <c r="E665" s="20"/>
      <c r="F665" s="21"/>
      <c r="G665" s="20"/>
    </row>
    <row r="666" spans="1:7" ht="13.2">
      <c r="A666" s="26"/>
      <c r="B666" s="20"/>
      <c r="C666" s="20"/>
      <c r="D666" s="20"/>
      <c r="E666" s="20"/>
      <c r="F666" s="21"/>
      <c r="G666" s="20"/>
    </row>
    <row r="667" spans="1:7" ht="13.2">
      <c r="A667" s="26"/>
      <c r="B667" s="20"/>
      <c r="C667" s="20"/>
      <c r="D667" s="20"/>
      <c r="E667" s="20"/>
      <c r="F667" s="21"/>
      <c r="G667" s="20"/>
    </row>
    <row r="668" spans="1:7" ht="13.2">
      <c r="A668" s="26"/>
      <c r="B668" s="20"/>
      <c r="C668" s="20"/>
      <c r="D668" s="20"/>
      <c r="E668" s="20"/>
      <c r="F668" s="21"/>
      <c r="G668" s="20"/>
    </row>
    <row r="669" spans="1:7" ht="13.2">
      <c r="A669" s="26"/>
      <c r="B669" s="20"/>
      <c r="C669" s="20"/>
      <c r="D669" s="20"/>
      <c r="E669" s="20"/>
      <c r="F669" s="21"/>
      <c r="G669" s="20"/>
    </row>
    <row r="670" spans="1:7" ht="13.2">
      <c r="A670" s="26"/>
      <c r="B670" s="20"/>
      <c r="C670" s="20"/>
      <c r="D670" s="20"/>
      <c r="E670" s="20"/>
      <c r="F670" s="21"/>
      <c r="G670" s="20"/>
    </row>
    <row r="671" spans="1:7" ht="13.2">
      <c r="A671" s="26"/>
      <c r="B671" s="20"/>
      <c r="C671" s="20"/>
      <c r="D671" s="20"/>
      <c r="E671" s="20"/>
      <c r="F671" s="21"/>
      <c r="G671" s="20"/>
    </row>
    <row r="672" spans="1:7" ht="13.2">
      <c r="A672" s="26"/>
      <c r="B672" s="20"/>
      <c r="C672" s="20"/>
      <c r="D672" s="20"/>
      <c r="E672" s="20"/>
      <c r="F672" s="21"/>
      <c r="G672" s="20"/>
    </row>
    <row r="673" spans="1:7" ht="13.2">
      <c r="A673" s="26"/>
      <c r="B673" s="20"/>
      <c r="C673" s="20"/>
      <c r="D673" s="20"/>
      <c r="E673" s="20"/>
      <c r="F673" s="21"/>
      <c r="G673" s="20"/>
    </row>
    <row r="674" spans="1:7" ht="13.2">
      <c r="A674" s="26"/>
      <c r="B674" s="20"/>
      <c r="C674" s="20"/>
      <c r="D674" s="20"/>
      <c r="E674" s="20"/>
      <c r="F674" s="21"/>
      <c r="G674" s="20"/>
    </row>
    <row r="675" spans="1:7" ht="13.2">
      <c r="A675" s="26"/>
      <c r="B675" s="20"/>
      <c r="C675" s="20"/>
      <c r="D675" s="20"/>
      <c r="E675" s="20"/>
      <c r="F675" s="21"/>
      <c r="G675" s="20"/>
    </row>
    <row r="676" spans="1:7" ht="13.2">
      <c r="A676" s="26"/>
      <c r="B676" s="20"/>
      <c r="C676" s="20"/>
      <c r="D676" s="20"/>
      <c r="E676" s="20"/>
      <c r="F676" s="21"/>
      <c r="G676" s="20"/>
    </row>
    <row r="677" spans="1:7" ht="13.2">
      <c r="A677" s="26"/>
      <c r="B677" s="20"/>
      <c r="C677" s="20"/>
      <c r="D677" s="20"/>
      <c r="E677" s="20"/>
      <c r="F677" s="21"/>
      <c r="G677" s="20"/>
    </row>
    <row r="678" spans="1:7" ht="13.2">
      <c r="A678" s="26"/>
      <c r="B678" s="20"/>
      <c r="C678" s="20"/>
      <c r="D678" s="20"/>
      <c r="E678" s="20"/>
      <c r="F678" s="21"/>
      <c r="G678" s="20"/>
    </row>
    <row r="679" spans="1:7" ht="13.2">
      <c r="A679" s="26"/>
      <c r="B679" s="20"/>
      <c r="C679" s="20"/>
      <c r="D679" s="20"/>
      <c r="E679" s="20"/>
      <c r="F679" s="21"/>
      <c r="G679" s="20"/>
    </row>
    <row r="680" spans="1:7" ht="13.2">
      <c r="A680" s="26"/>
      <c r="B680" s="20"/>
      <c r="C680" s="20"/>
      <c r="D680" s="20"/>
      <c r="E680" s="20"/>
      <c r="F680" s="21"/>
      <c r="G680" s="20"/>
    </row>
    <row r="681" spans="1:7" ht="13.2">
      <c r="A681" s="26"/>
      <c r="B681" s="20"/>
      <c r="C681" s="20"/>
      <c r="D681" s="20"/>
      <c r="E681" s="20"/>
      <c r="F681" s="21"/>
      <c r="G681" s="20"/>
    </row>
    <row r="682" spans="1:7" ht="13.2">
      <c r="A682" s="26"/>
      <c r="B682" s="20"/>
      <c r="C682" s="20"/>
      <c r="D682" s="20"/>
      <c r="E682" s="20"/>
      <c r="F682" s="21"/>
      <c r="G682" s="20"/>
    </row>
    <row r="683" spans="1:7" ht="13.2">
      <c r="A683" s="26"/>
      <c r="B683" s="20"/>
      <c r="C683" s="20"/>
      <c r="D683" s="20"/>
      <c r="E683" s="20"/>
      <c r="F683" s="21"/>
      <c r="G683" s="20"/>
    </row>
    <row r="684" spans="1:7" ht="13.2">
      <c r="A684" s="26"/>
      <c r="B684" s="20"/>
      <c r="C684" s="20"/>
      <c r="D684" s="20"/>
      <c r="E684" s="20"/>
      <c r="F684" s="21"/>
      <c r="G684" s="20"/>
    </row>
    <row r="685" spans="1:7" ht="13.2">
      <c r="A685" s="26"/>
      <c r="B685" s="20"/>
      <c r="C685" s="20"/>
      <c r="D685" s="20"/>
      <c r="E685" s="20"/>
      <c r="F685" s="21"/>
      <c r="G685" s="20"/>
    </row>
    <row r="686" spans="1:7" ht="13.2">
      <c r="A686" s="26"/>
      <c r="B686" s="20"/>
      <c r="C686" s="20"/>
      <c r="D686" s="20"/>
      <c r="E686" s="20"/>
      <c r="F686" s="21"/>
      <c r="G686" s="20"/>
    </row>
    <row r="687" spans="1:7" ht="13.2">
      <c r="A687" s="26"/>
      <c r="B687" s="20"/>
      <c r="C687" s="20"/>
      <c r="D687" s="20"/>
      <c r="E687" s="20"/>
      <c r="F687" s="21"/>
      <c r="G687" s="20"/>
    </row>
    <row r="688" spans="1:7" ht="13.2">
      <c r="A688" s="26"/>
      <c r="B688" s="20"/>
      <c r="C688" s="20"/>
      <c r="D688" s="20"/>
      <c r="E688" s="20"/>
      <c r="F688" s="21"/>
      <c r="G688" s="20"/>
    </row>
    <row r="689" spans="1:7" ht="13.2">
      <c r="A689" s="26"/>
      <c r="B689" s="20"/>
      <c r="C689" s="20"/>
      <c r="D689" s="20"/>
      <c r="E689" s="20"/>
      <c r="F689" s="21"/>
      <c r="G689" s="20"/>
    </row>
    <row r="690" spans="1:7" ht="13.2">
      <c r="A690" s="26"/>
      <c r="B690" s="20"/>
      <c r="C690" s="20"/>
      <c r="D690" s="20"/>
      <c r="E690" s="20"/>
      <c r="F690" s="21"/>
      <c r="G690" s="20"/>
    </row>
    <row r="691" spans="1:7" ht="13.2">
      <c r="A691" s="26"/>
      <c r="B691" s="20"/>
      <c r="C691" s="20"/>
      <c r="D691" s="20"/>
      <c r="E691" s="20"/>
      <c r="F691" s="21"/>
      <c r="G691" s="20"/>
    </row>
    <row r="692" spans="1:7" ht="13.2">
      <c r="A692" s="26"/>
      <c r="B692" s="20"/>
      <c r="C692" s="20"/>
      <c r="D692" s="20"/>
      <c r="E692" s="20"/>
      <c r="F692" s="21"/>
      <c r="G692" s="20"/>
    </row>
    <row r="693" spans="1:7" ht="13.2">
      <c r="A693" s="26"/>
      <c r="B693" s="20"/>
      <c r="C693" s="20"/>
      <c r="D693" s="20"/>
      <c r="E693" s="20"/>
      <c r="F693" s="21"/>
      <c r="G693" s="20"/>
    </row>
    <row r="694" spans="1:7" ht="13.2">
      <c r="A694" s="26"/>
      <c r="B694" s="20"/>
      <c r="C694" s="20"/>
      <c r="D694" s="20"/>
      <c r="E694" s="20"/>
      <c r="F694" s="21"/>
      <c r="G694" s="20"/>
    </row>
    <row r="695" spans="1:7" ht="13.2">
      <c r="A695" s="26"/>
      <c r="B695" s="20"/>
      <c r="C695" s="20"/>
      <c r="D695" s="20"/>
      <c r="E695" s="20"/>
      <c r="F695" s="21"/>
      <c r="G695" s="20"/>
    </row>
    <row r="696" spans="1:7" ht="13.2">
      <c r="A696" s="26"/>
      <c r="B696" s="20"/>
      <c r="C696" s="20"/>
      <c r="D696" s="20"/>
      <c r="E696" s="20"/>
      <c r="F696" s="21"/>
      <c r="G696" s="20"/>
    </row>
    <row r="697" spans="1:7" ht="13.2">
      <c r="A697" s="26"/>
      <c r="B697" s="20"/>
      <c r="C697" s="20"/>
      <c r="D697" s="20"/>
      <c r="E697" s="20"/>
      <c r="F697" s="21"/>
      <c r="G697" s="20"/>
    </row>
    <row r="698" spans="1:7" ht="13.2">
      <c r="A698" s="26"/>
      <c r="B698" s="20"/>
      <c r="C698" s="20"/>
      <c r="D698" s="20"/>
      <c r="E698" s="20"/>
      <c r="F698" s="21"/>
      <c r="G698" s="20"/>
    </row>
    <row r="699" spans="1:7" ht="13.2">
      <c r="A699" s="26"/>
      <c r="B699" s="20"/>
      <c r="C699" s="20"/>
      <c r="D699" s="20"/>
      <c r="E699" s="20"/>
      <c r="F699" s="21"/>
      <c r="G699" s="20"/>
    </row>
    <row r="700" spans="1:7" ht="13.2">
      <c r="A700" s="26"/>
      <c r="B700" s="20"/>
      <c r="C700" s="20"/>
      <c r="D700" s="20"/>
      <c r="E700" s="20"/>
      <c r="F700" s="21"/>
      <c r="G700" s="20"/>
    </row>
    <row r="701" spans="1:7" ht="13.2">
      <c r="A701" s="26"/>
      <c r="B701" s="20"/>
      <c r="C701" s="20"/>
      <c r="D701" s="20"/>
      <c r="E701" s="20"/>
      <c r="F701" s="21"/>
      <c r="G701" s="20"/>
    </row>
    <row r="702" spans="1:7" ht="13.2">
      <c r="A702" s="26"/>
      <c r="B702" s="20"/>
      <c r="C702" s="20"/>
      <c r="D702" s="20"/>
      <c r="E702" s="20"/>
      <c r="F702" s="21"/>
      <c r="G702" s="20"/>
    </row>
    <row r="703" spans="1:7" ht="13.2">
      <c r="A703" s="26"/>
      <c r="B703" s="20"/>
      <c r="C703" s="20"/>
      <c r="D703" s="20"/>
      <c r="E703" s="20"/>
      <c r="F703" s="21"/>
      <c r="G703" s="20"/>
    </row>
    <row r="704" spans="1:7" ht="13.2">
      <c r="A704" s="26"/>
      <c r="B704" s="20"/>
      <c r="C704" s="20"/>
      <c r="D704" s="20"/>
      <c r="E704" s="20"/>
      <c r="F704" s="21"/>
      <c r="G704" s="20"/>
    </row>
    <row r="705" spans="1:7" ht="13.2">
      <c r="A705" s="26"/>
      <c r="B705" s="20"/>
      <c r="C705" s="20"/>
      <c r="D705" s="20"/>
      <c r="E705" s="20"/>
      <c r="F705" s="21"/>
      <c r="G705" s="20"/>
    </row>
    <row r="706" spans="1:7" ht="13.2">
      <c r="A706" s="26"/>
      <c r="B706" s="20"/>
      <c r="C706" s="20"/>
      <c r="D706" s="20"/>
      <c r="E706" s="20"/>
      <c r="F706" s="21"/>
      <c r="G706" s="20"/>
    </row>
    <row r="707" spans="1:7" ht="13.2">
      <c r="A707" s="26"/>
      <c r="B707" s="20"/>
      <c r="C707" s="20"/>
      <c r="D707" s="20"/>
      <c r="E707" s="20"/>
      <c r="F707" s="21"/>
      <c r="G707" s="20"/>
    </row>
    <row r="708" spans="1:7" ht="13.2">
      <c r="A708" s="26"/>
      <c r="B708" s="20"/>
      <c r="C708" s="20"/>
      <c r="D708" s="20"/>
      <c r="E708" s="20"/>
      <c r="F708" s="21"/>
      <c r="G708" s="20"/>
    </row>
    <row r="709" spans="1:7" ht="13.2">
      <c r="A709" s="26"/>
      <c r="B709" s="20"/>
      <c r="C709" s="20"/>
      <c r="D709" s="20"/>
      <c r="E709" s="20"/>
      <c r="F709" s="21"/>
      <c r="G709" s="20"/>
    </row>
    <row r="710" spans="1:7" ht="13.2">
      <c r="A710" s="26"/>
      <c r="B710" s="20"/>
      <c r="C710" s="20"/>
      <c r="D710" s="20"/>
      <c r="E710" s="20"/>
      <c r="F710" s="21"/>
      <c r="G710" s="20"/>
    </row>
    <row r="711" spans="1:7" ht="13.2">
      <c r="A711" s="26"/>
      <c r="B711" s="20"/>
      <c r="C711" s="20"/>
      <c r="D711" s="20"/>
      <c r="E711" s="20"/>
      <c r="F711" s="21"/>
      <c r="G711" s="20"/>
    </row>
    <row r="712" spans="1:7" ht="13.2">
      <c r="A712" s="26"/>
      <c r="B712" s="20"/>
      <c r="C712" s="20"/>
      <c r="D712" s="20"/>
      <c r="E712" s="20"/>
      <c r="F712" s="21"/>
      <c r="G712" s="20"/>
    </row>
    <row r="713" spans="1:7" ht="13.2">
      <c r="A713" s="26"/>
      <c r="B713" s="20"/>
      <c r="C713" s="20"/>
      <c r="D713" s="20"/>
      <c r="E713" s="20"/>
      <c r="F713" s="21"/>
      <c r="G713" s="20"/>
    </row>
    <row r="714" spans="1:7" ht="13.2">
      <c r="A714" s="26"/>
      <c r="B714" s="20"/>
      <c r="C714" s="20"/>
      <c r="D714" s="20"/>
      <c r="E714" s="20"/>
      <c r="F714" s="21"/>
      <c r="G714" s="20"/>
    </row>
    <row r="715" spans="1:7" ht="13.2">
      <c r="A715" s="26"/>
      <c r="B715" s="20"/>
      <c r="C715" s="20"/>
      <c r="D715" s="20"/>
      <c r="E715" s="20"/>
      <c r="F715" s="21"/>
      <c r="G715" s="20"/>
    </row>
    <row r="716" spans="1:7" ht="13.2">
      <c r="A716" s="26"/>
      <c r="B716" s="20"/>
      <c r="C716" s="20"/>
      <c r="D716" s="20"/>
      <c r="E716" s="20"/>
      <c r="F716" s="21"/>
      <c r="G716" s="20"/>
    </row>
    <row r="717" spans="1:7" ht="13.2">
      <c r="A717" s="26"/>
      <c r="B717" s="20"/>
      <c r="C717" s="20"/>
      <c r="D717" s="20"/>
      <c r="E717" s="20"/>
      <c r="F717" s="21"/>
      <c r="G717" s="20"/>
    </row>
    <row r="718" spans="1:7" ht="13.2">
      <c r="A718" s="26"/>
      <c r="B718" s="20"/>
      <c r="C718" s="20"/>
      <c r="D718" s="20"/>
      <c r="E718" s="20"/>
      <c r="F718" s="21"/>
      <c r="G718" s="20"/>
    </row>
    <row r="719" spans="1:7" ht="13.2">
      <c r="A719" s="26"/>
      <c r="B719" s="20"/>
      <c r="C719" s="20"/>
      <c r="D719" s="20"/>
      <c r="E719" s="20"/>
      <c r="F719" s="21"/>
      <c r="G719" s="20"/>
    </row>
    <row r="720" spans="1:7" ht="13.2">
      <c r="A720" s="26"/>
      <c r="B720" s="20"/>
      <c r="C720" s="20"/>
      <c r="D720" s="20"/>
      <c r="E720" s="20"/>
      <c r="F720" s="21"/>
      <c r="G720" s="20"/>
    </row>
    <row r="721" spans="1:7" ht="13.2">
      <c r="A721" s="26"/>
      <c r="B721" s="20"/>
      <c r="C721" s="20"/>
      <c r="D721" s="20"/>
      <c r="E721" s="20"/>
      <c r="F721" s="21"/>
      <c r="G721" s="20"/>
    </row>
    <row r="722" spans="1:7" ht="13.2">
      <c r="A722" s="26"/>
      <c r="B722" s="20"/>
      <c r="C722" s="20"/>
      <c r="D722" s="20"/>
      <c r="E722" s="20"/>
      <c r="F722" s="21"/>
      <c r="G722" s="20"/>
    </row>
    <row r="723" spans="1:7" ht="13.2">
      <c r="A723" s="26"/>
      <c r="B723" s="20"/>
      <c r="C723" s="20"/>
      <c r="D723" s="20"/>
      <c r="E723" s="20"/>
      <c r="F723" s="21"/>
      <c r="G723" s="20"/>
    </row>
    <row r="724" spans="1:7" ht="13.2">
      <c r="A724" s="26"/>
      <c r="B724" s="20"/>
      <c r="C724" s="20"/>
      <c r="D724" s="20"/>
      <c r="E724" s="20"/>
      <c r="F724" s="21"/>
      <c r="G724" s="20"/>
    </row>
    <row r="725" spans="1:7" ht="13.2">
      <c r="A725" s="26"/>
      <c r="B725" s="20"/>
      <c r="C725" s="20"/>
      <c r="D725" s="20"/>
      <c r="E725" s="20"/>
      <c r="F725" s="21"/>
      <c r="G725" s="20"/>
    </row>
    <row r="726" spans="1:7" ht="13.2">
      <c r="A726" s="26"/>
      <c r="B726" s="20"/>
      <c r="C726" s="20"/>
      <c r="D726" s="20"/>
      <c r="E726" s="20"/>
      <c r="F726" s="21"/>
      <c r="G726" s="20"/>
    </row>
    <row r="727" spans="1:7" ht="13.2">
      <c r="A727" s="26"/>
      <c r="B727" s="20"/>
      <c r="C727" s="20"/>
      <c r="D727" s="20"/>
      <c r="E727" s="20"/>
      <c r="F727" s="21"/>
      <c r="G727" s="20"/>
    </row>
    <row r="728" spans="1:7" ht="13.2">
      <c r="A728" s="26"/>
      <c r="B728" s="20"/>
      <c r="C728" s="20"/>
      <c r="D728" s="20"/>
      <c r="E728" s="20"/>
      <c r="F728" s="21"/>
      <c r="G728" s="20"/>
    </row>
    <row r="729" spans="1:7" ht="13.2">
      <c r="A729" s="26"/>
      <c r="B729" s="20"/>
      <c r="C729" s="20"/>
      <c r="D729" s="20"/>
      <c r="E729" s="20"/>
      <c r="F729" s="21"/>
      <c r="G729" s="20"/>
    </row>
    <row r="730" spans="1:7" ht="13.2">
      <c r="A730" s="26"/>
      <c r="B730" s="20"/>
      <c r="C730" s="20"/>
      <c r="D730" s="20"/>
      <c r="E730" s="20"/>
      <c r="F730" s="21"/>
      <c r="G730" s="20"/>
    </row>
    <row r="731" spans="1:7" ht="13.2">
      <c r="A731" s="26"/>
      <c r="B731" s="20"/>
      <c r="C731" s="20"/>
      <c r="D731" s="20"/>
      <c r="E731" s="20"/>
      <c r="F731" s="21"/>
      <c r="G731" s="20"/>
    </row>
    <row r="732" spans="1:7" ht="13.2">
      <c r="A732" s="26"/>
      <c r="B732" s="20"/>
      <c r="C732" s="20"/>
      <c r="D732" s="20"/>
      <c r="E732" s="20"/>
      <c r="F732" s="21"/>
      <c r="G732" s="20"/>
    </row>
    <row r="733" spans="1:7" ht="13.2">
      <c r="A733" s="26"/>
      <c r="B733" s="20"/>
      <c r="C733" s="20"/>
      <c r="D733" s="20"/>
      <c r="E733" s="20"/>
      <c r="F733" s="21"/>
      <c r="G733" s="20"/>
    </row>
    <row r="734" spans="1:7" ht="13.2">
      <c r="A734" s="26"/>
      <c r="B734" s="20"/>
      <c r="C734" s="20"/>
      <c r="D734" s="20"/>
      <c r="E734" s="20"/>
      <c r="F734" s="21"/>
      <c r="G734" s="20"/>
    </row>
    <row r="735" spans="1:7" ht="13.2">
      <c r="A735" s="26"/>
      <c r="B735" s="20"/>
      <c r="C735" s="20"/>
      <c r="D735" s="20"/>
      <c r="E735" s="20"/>
      <c r="F735" s="21"/>
      <c r="G735" s="20"/>
    </row>
    <row r="736" spans="1:7" ht="13.2">
      <c r="A736" s="26"/>
      <c r="B736" s="20"/>
      <c r="C736" s="20"/>
      <c r="D736" s="20"/>
      <c r="E736" s="20"/>
      <c r="F736" s="21"/>
      <c r="G736" s="20"/>
    </row>
    <row r="737" spans="1:7" ht="13.2">
      <c r="A737" s="26"/>
      <c r="B737" s="20"/>
      <c r="C737" s="20"/>
      <c r="D737" s="20"/>
      <c r="E737" s="20"/>
      <c r="F737" s="21"/>
      <c r="G737" s="20"/>
    </row>
    <row r="738" spans="1:7" ht="13.2">
      <c r="A738" s="26"/>
      <c r="B738" s="20"/>
      <c r="C738" s="20"/>
      <c r="D738" s="20"/>
      <c r="E738" s="20"/>
      <c r="F738" s="21"/>
      <c r="G738" s="20"/>
    </row>
    <row r="739" spans="1:7" ht="13.2">
      <c r="A739" s="26"/>
      <c r="B739" s="20"/>
      <c r="C739" s="20"/>
      <c r="D739" s="20"/>
      <c r="E739" s="20"/>
      <c r="F739" s="21"/>
      <c r="G739" s="20"/>
    </row>
    <row r="740" spans="1:7" ht="13.2">
      <c r="A740" s="26"/>
      <c r="B740" s="20"/>
      <c r="C740" s="20"/>
      <c r="D740" s="20"/>
      <c r="E740" s="20"/>
      <c r="F740" s="21"/>
      <c r="G740" s="20"/>
    </row>
    <row r="741" spans="1:7" ht="13.2">
      <c r="A741" s="26"/>
      <c r="B741" s="20"/>
      <c r="C741" s="20"/>
      <c r="D741" s="20"/>
      <c r="E741" s="20"/>
      <c r="F741" s="21"/>
      <c r="G741" s="20"/>
    </row>
    <row r="742" spans="1:7" ht="13.2">
      <c r="A742" s="26"/>
      <c r="B742" s="20"/>
      <c r="C742" s="20"/>
      <c r="D742" s="20"/>
      <c r="E742" s="20"/>
      <c r="F742" s="21"/>
      <c r="G742" s="20"/>
    </row>
    <row r="743" spans="1:7" ht="13.2">
      <c r="A743" s="26"/>
      <c r="B743" s="20"/>
      <c r="C743" s="20"/>
      <c r="D743" s="20"/>
      <c r="E743" s="20"/>
      <c r="F743" s="21"/>
      <c r="G743" s="20"/>
    </row>
    <row r="744" spans="1:7" ht="13.2">
      <c r="A744" s="26"/>
      <c r="B744" s="20"/>
      <c r="C744" s="20"/>
      <c r="D744" s="20"/>
      <c r="E744" s="20"/>
      <c r="F744" s="21"/>
      <c r="G744" s="20"/>
    </row>
    <row r="745" spans="1:7" ht="13.2">
      <c r="A745" s="26"/>
      <c r="B745" s="20"/>
      <c r="C745" s="20"/>
      <c r="D745" s="20"/>
      <c r="E745" s="20"/>
      <c r="F745" s="21"/>
      <c r="G745" s="20"/>
    </row>
    <row r="746" spans="1:7" ht="13.2">
      <c r="A746" s="26"/>
      <c r="B746" s="20"/>
      <c r="C746" s="20"/>
      <c r="D746" s="20"/>
      <c r="E746" s="20"/>
      <c r="F746" s="21"/>
      <c r="G746" s="20"/>
    </row>
    <row r="747" spans="1:7" ht="13.2">
      <c r="A747" s="26"/>
      <c r="B747" s="20"/>
      <c r="C747" s="20"/>
      <c r="D747" s="20"/>
      <c r="E747" s="20"/>
      <c r="F747" s="21"/>
      <c r="G747" s="20"/>
    </row>
    <row r="748" spans="1:7" ht="13.2">
      <c r="A748" s="26"/>
      <c r="B748" s="20"/>
      <c r="C748" s="20"/>
      <c r="D748" s="20"/>
      <c r="E748" s="20"/>
      <c r="F748" s="21"/>
      <c r="G748" s="20"/>
    </row>
    <row r="749" spans="1:7" ht="13.2">
      <c r="A749" s="26"/>
      <c r="B749" s="20"/>
      <c r="C749" s="20"/>
      <c r="D749" s="20"/>
      <c r="E749" s="20"/>
      <c r="F749" s="21"/>
      <c r="G749" s="20"/>
    </row>
    <row r="750" spans="1:7" ht="13.2">
      <c r="A750" s="26"/>
      <c r="B750" s="20"/>
      <c r="C750" s="20"/>
      <c r="D750" s="20"/>
      <c r="E750" s="20"/>
      <c r="F750" s="21"/>
      <c r="G750" s="20"/>
    </row>
    <row r="751" spans="1:7" ht="13.2">
      <c r="A751" s="26"/>
      <c r="B751" s="20"/>
      <c r="C751" s="20"/>
      <c r="D751" s="20"/>
      <c r="E751" s="20"/>
      <c r="F751" s="21"/>
      <c r="G751" s="20"/>
    </row>
    <row r="752" spans="1:7" ht="13.2">
      <c r="A752" s="26"/>
      <c r="B752" s="20"/>
      <c r="C752" s="20"/>
      <c r="D752" s="20"/>
      <c r="E752" s="20"/>
      <c r="F752" s="21"/>
      <c r="G752" s="20"/>
    </row>
    <row r="753" spans="1:7" ht="13.2">
      <c r="A753" s="26"/>
      <c r="B753" s="20"/>
      <c r="C753" s="20"/>
      <c r="D753" s="20"/>
      <c r="E753" s="20"/>
      <c r="F753" s="21"/>
      <c r="G753" s="20"/>
    </row>
    <row r="754" spans="1:7" ht="13.2">
      <c r="A754" s="26"/>
      <c r="B754" s="20"/>
      <c r="C754" s="20"/>
      <c r="D754" s="20"/>
      <c r="E754" s="20"/>
      <c r="F754" s="21"/>
      <c r="G754" s="20"/>
    </row>
    <row r="755" spans="1:7" ht="13.2">
      <c r="A755" s="26"/>
      <c r="B755" s="20"/>
      <c r="C755" s="20"/>
      <c r="D755" s="20"/>
      <c r="E755" s="20"/>
      <c r="F755" s="21"/>
      <c r="G755" s="20"/>
    </row>
    <row r="756" spans="1:7" ht="13.2">
      <c r="A756" s="26"/>
      <c r="B756" s="20"/>
      <c r="C756" s="20"/>
      <c r="D756" s="20"/>
      <c r="E756" s="20"/>
      <c r="F756" s="21"/>
      <c r="G756" s="20"/>
    </row>
    <row r="757" spans="1:7" ht="13.2">
      <c r="A757" s="26"/>
      <c r="B757" s="20"/>
      <c r="C757" s="20"/>
      <c r="D757" s="20"/>
      <c r="E757" s="20"/>
      <c r="F757" s="21"/>
      <c r="G757" s="20"/>
    </row>
    <row r="758" spans="1:7" ht="13.2">
      <c r="A758" s="26"/>
      <c r="B758" s="20"/>
      <c r="C758" s="20"/>
      <c r="D758" s="20"/>
      <c r="E758" s="20"/>
      <c r="F758" s="21"/>
      <c r="G758" s="20"/>
    </row>
    <row r="759" spans="1:7" ht="13.2">
      <c r="A759" s="26"/>
      <c r="B759" s="20"/>
      <c r="C759" s="20"/>
      <c r="D759" s="20"/>
      <c r="E759" s="20"/>
      <c r="F759" s="21"/>
      <c r="G759" s="20"/>
    </row>
    <row r="760" spans="1:7" ht="13.2">
      <c r="A760" s="26"/>
      <c r="B760" s="20"/>
      <c r="C760" s="20"/>
      <c r="D760" s="20"/>
      <c r="E760" s="20"/>
      <c r="F760" s="21"/>
      <c r="G760" s="20"/>
    </row>
    <row r="761" spans="1:7" ht="13.2">
      <c r="A761" s="26"/>
      <c r="B761" s="20"/>
      <c r="C761" s="20"/>
      <c r="D761" s="20"/>
      <c r="E761" s="20"/>
      <c r="F761" s="21"/>
      <c r="G761" s="20"/>
    </row>
    <row r="762" spans="1:7" ht="13.2">
      <c r="A762" s="26"/>
      <c r="B762" s="20"/>
      <c r="C762" s="20"/>
      <c r="D762" s="20"/>
      <c r="E762" s="20"/>
      <c r="F762" s="21"/>
      <c r="G762" s="20"/>
    </row>
    <row r="763" spans="1:7" ht="13.2">
      <c r="A763" s="26"/>
      <c r="B763" s="20"/>
      <c r="C763" s="20"/>
      <c r="D763" s="20"/>
      <c r="E763" s="20"/>
      <c r="F763" s="21"/>
      <c r="G763" s="20"/>
    </row>
    <row r="764" spans="1:7" ht="13.2">
      <c r="A764" s="26"/>
      <c r="B764" s="20"/>
      <c r="C764" s="20"/>
      <c r="D764" s="20"/>
      <c r="E764" s="20"/>
      <c r="F764" s="21"/>
      <c r="G764" s="20"/>
    </row>
    <row r="765" spans="1:7" ht="13.2">
      <c r="A765" s="26"/>
      <c r="B765" s="20"/>
      <c r="C765" s="20"/>
      <c r="D765" s="20"/>
      <c r="E765" s="20"/>
      <c r="F765" s="21"/>
      <c r="G765" s="20"/>
    </row>
    <row r="766" spans="1:7" ht="13.2">
      <c r="A766" s="26"/>
      <c r="B766" s="20"/>
      <c r="C766" s="20"/>
      <c r="D766" s="20"/>
      <c r="E766" s="20"/>
      <c r="F766" s="21"/>
      <c r="G766" s="20"/>
    </row>
    <row r="767" spans="1:7" ht="13.2">
      <c r="A767" s="26"/>
      <c r="B767" s="20"/>
      <c r="C767" s="20"/>
      <c r="D767" s="20"/>
      <c r="E767" s="20"/>
      <c r="F767" s="21"/>
      <c r="G767" s="20"/>
    </row>
    <row r="768" spans="1:7" ht="13.2">
      <c r="A768" s="26"/>
      <c r="B768" s="20"/>
      <c r="C768" s="20"/>
      <c r="D768" s="20"/>
      <c r="E768" s="20"/>
      <c r="F768" s="21"/>
      <c r="G768" s="20"/>
    </row>
    <row r="769" spans="1:7" ht="13.2">
      <c r="A769" s="26"/>
      <c r="B769" s="20"/>
      <c r="C769" s="20"/>
      <c r="D769" s="20"/>
      <c r="E769" s="20"/>
      <c r="F769" s="21"/>
      <c r="G769" s="20"/>
    </row>
    <row r="770" spans="1:7" ht="13.2">
      <c r="A770" s="26"/>
      <c r="B770" s="20"/>
      <c r="C770" s="20"/>
      <c r="D770" s="20"/>
      <c r="E770" s="20"/>
      <c r="F770" s="21"/>
      <c r="G770" s="20"/>
    </row>
    <row r="771" spans="1:7" ht="13.2">
      <c r="A771" s="26"/>
      <c r="B771" s="20"/>
      <c r="C771" s="20"/>
      <c r="D771" s="20"/>
      <c r="E771" s="20"/>
      <c r="F771" s="21"/>
      <c r="G771" s="20"/>
    </row>
    <row r="772" spans="1:7" ht="13.2">
      <c r="A772" s="26"/>
      <c r="B772" s="20"/>
      <c r="C772" s="20"/>
      <c r="D772" s="20"/>
      <c r="E772" s="20"/>
      <c r="F772" s="21"/>
      <c r="G772" s="20"/>
    </row>
    <row r="773" spans="1:7" ht="13.2">
      <c r="A773" s="26"/>
      <c r="B773" s="20"/>
      <c r="C773" s="20"/>
      <c r="D773" s="20"/>
      <c r="E773" s="20"/>
      <c r="F773" s="21"/>
      <c r="G773" s="20"/>
    </row>
    <row r="774" spans="1:7" ht="13.2">
      <c r="A774" s="26"/>
      <c r="B774" s="20"/>
      <c r="C774" s="20"/>
      <c r="D774" s="20"/>
      <c r="E774" s="20"/>
      <c r="F774" s="21"/>
      <c r="G774" s="20"/>
    </row>
    <row r="775" spans="1:7" ht="13.2">
      <c r="A775" s="26"/>
      <c r="B775" s="20"/>
      <c r="C775" s="20"/>
      <c r="D775" s="20"/>
      <c r="E775" s="20"/>
      <c r="F775" s="21"/>
      <c r="G775" s="20"/>
    </row>
    <row r="776" spans="1:7" ht="13.2">
      <c r="A776" s="26"/>
      <c r="B776" s="20"/>
      <c r="C776" s="20"/>
      <c r="D776" s="20"/>
      <c r="E776" s="20"/>
      <c r="F776" s="21"/>
      <c r="G776" s="20"/>
    </row>
    <row r="777" spans="1:7" ht="13.2">
      <c r="A777" s="26"/>
      <c r="B777" s="20"/>
      <c r="C777" s="20"/>
      <c r="D777" s="20"/>
      <c r="E777" s="20"/>
      <c r="F777" s="21"/>
      <c r="G777" s="20"/>
    </row>
    <row r="778" spans="1:7" ht="13.2">
      <c r="A778" s="26"/>
      <c r="B778" s="20"/>
      <c r="C778" s="20"/>
      <c r="D778" s="20"/>
      <c r="E778" s="20"/>
      <c r="F778" s="21"/>
      <c r="G778" s="20"/>
    </row>
    <row r="779" spans="1:7" ht="13.2">
      <c r="A779" s="26"/>
      <c r="B779" s="20"/>
      <c r="C779" s="20"/>
      <c r="D779" s="20"/>
      <c r="E779" s="20"/>
      <c r="F779" s="21"/>
      <c r="G779" s="20"/>
    </row>
    <row r="780" spans="1:7" ht="13.2">
      <c r="A780" s="26"/>
      <c r="B780" s="20"/>
      <c r="C780" s="20"/>
      <c r="D780" s="20"/>
      <c r="E780" s="20"/>
      <c r="F780" s="21"/>
      <c r="G780" s="20"/>
    </row>
    <row r="781" spans="1:7" ht="13.2">
      <c r="A781" s="26"/>
      <c r="B781" s="20"/>
      <c r="C781" s="20"/>
      <c r="D781" s="20"/>
      <c r="E781" s="20"/>
      <c r="F781" s="21"/>
      <c r="G781" s="20"/>
    </row>
    <row r="782" spans="1:7" ht="13.2">
      <c r="A782" s="26"/>
      <c r="B782" s="20"/>
      <c r="C782" s="20"/>
      <c r="D782" s="20"/>
      <c r="E782" s="20"/>
      <c r="F782" s="21"/>
      <c r="G782" s="20"/>
    </row>
    <row r="783" spans="1:7" ht="13.2">
      <c r="A783" s="26"/>
      <c r="B783" s="20"/>
      <c r="C783" s="20"/>
      <c r="D783" s="20"/>
      <c r="E783" s="20"/>
      <c r="F783" s="21"/>
      <c r="G783" s="20"/>
    </row>
    <row r="784" spans="1:7" ht="13.2">
      <c r="A784" s="26"/>
      <c r="B784" s="20"/>
      <c r="C784" s="20"/>
      <c r="D784" s="20"/>
      <c r="E784" s="20"/>
      <c r="F784" s="21"/>
      <c r="G784" s="20"/>
    </row>
    <row r="785" spans="1:7" ht="13.2">
      <c r="A785" s="26"/>
      <c r="B785" s="20"/>
      <c r="C785" s="20"/>
      <c r="D785" s="20"/>
      <c r="E785" s="20"/>
      <c r="F785" s="21"/>
      <c r="G785" s="20"/>
    </row>
    <row r="786" spans="1:7" ht="13.2">
      <c r="A786" s="26"/>
      <c r="B786" s="20"/>
      <c r="C786" s="20"/>
      <c r="D786" s="20"/>
      <c r="E786" s="20"/>
      <c r="F786" s="21"/>
      <c r="G786" s="20"/>
    </row>
    <row r="787" spans="1:7" ht="13.2">
      <c r="A787" s="26"/>
      <c r="B787" s="20"/>
      <c r="C787" s="20"/>
      <c r="D787" s="20"/>
      <c r="E787" s="20"/>
      <c r="F787" s="21"/>
      <c r="G787" s="20"/>
    </row>
    <row r="788" spans="1:7" ht="13.2">
      <c r="A788" s="26"/>
      <c r="B788" s="20"/>
      <c r="C788" s="20"/>
      <c r="D788" s="20"/>
      <c r="E788" s="20"/>
      <c r="F788" s="21"/>
      <c r="G788" s="20"/>
    </row>
    <row r="789" spans="1:7" ht="13.2">
      <c r="A789" s="26"/>
      <c r="B789" s="20"/>
      <c r="C789" s="20"/>
      <c r="D789" s="20"/>
      <c r="E789" s="20"/>
      <c r="F789" s="21"/>
      <c r="G789" s="20"/>
    </row>
    <row r="790" spans="1:7" ht="13.2">
      <c r="A790" s="26"/>
      <c r="B790" s="20"/>
      <c r="C790" s="20"/>
      <c r="D790" s="20"/>
      <c r="E790" s="20"/>
      <c r="F790" s="21"/>
      <c r="G790" s="20"/>
    </row>
    <row r="791" spans="1:7" ht="13.2">
      <c r="A791" s="26"/>
      <c r="B791" s="20"/>
      <c r="C791" s="20"/>
      <c r="D791" s="20"/>
      <c r="E791" s="20"/>
      <c r="F791" s="21"/>
      <c r="G791" s="20"/>
    </row>
    <row r="792" spans="1:7" ht="13.2">
      <c r="A792" s="26"/>
      <c r="B792" s="20"/>
      <c r="C792" s="20"/>
      <c r="D792" s="20"/>
      <c r="E792" s="20"/>
      <c r="F792" s="21"/>
      <c r="G792" s="20"/>
    </row>
    <row r="793" spans="1:7" ht="13.2">
      <c r="A793" s="26"/>
      <c r="B793" s="20"/>
      <c r="C793" s="20"/>
      <c r="D793" s="20"/>
      <c r="E793" s="20"/>
      <c r="F793" s="21"/>
      <c r="G793" s="20"/>
    </row>
    <row r="794" spans="1:7" ht="13.2">
      <c r="A794" s="26"/>
      <c r="B794" s="20"/>
      <c r="C794" s="20"/>
      <c r="D794" s="20"/>
      <c r="E794" s="20"/>
      <c r="F794" s="21"/>
      <c r="G794" s="20"/>
    </row>
    <row r="795" spans="1:7" ht="13.2">
      <c r="A795" s="26"/>
      <c r="B795" s="20"/>
      <c r="C795" s="20"/>
      <c r="D795" s="20"/>
      <c r="E795" s="20"/>
      <c r="F795" s="21"/>
      <c r="G795" s="20"/>
    </row>
    <row r="796" spans="1:7" ht="13.2">
      <c r="A796" s="26"/>
      <c r="B796" s="20"/>
      <c r="C796" s="20"/>
      <c r="D796" s="20"/>
      <c r="E796" s="20"/>
      <c r="F796" s="21"/>
      <c r="G796" s="20"/>
    </row>
    <row r="797" spans="1:7" ht="13.2">
      <c r="A797" s="26"/>
      <c r="B797" s="20"/>
      <c r="C797" s="20"/>
      <c r="D797" s="20"/>
      <c r="E797" s="20"/>
      <c r="F797" s="21"/>
      <c r="G797" s="20"/>
    </row>
    <row r="798" spans="1:7" ht="13.2">
      <c r="A798" s="26"/>
      <c r="B798" s="20"/>
      <c r="C798" s="20"/>
      <c r="D798" s="20"/>
      <c r="E798" s="20"/>
      <c r="F798" s="21"/>
      <c r="G798" s="20"/>
    </row>
    <row r="799" spans="1:7" ht="13.2">
      <c r="A799" s="26"/>
      <c r="B799" s="20"/>
      <c r="C799" s="20"/>
      <c r="D799" s="20"/>
      <c r="E799" s="20"/>
      <c r="F799" s="21"/>
      <c r="G799" s="20"/>
    </row>
    <row r="800" spans="1:7" ht="13.2">
      <c r="A800" s="26"/>
      <c r="B800" s="20"/>
      <c r="C800" s="20"/>
      <c r="D800" s="20"/>
      <c r="E800" s="20"/>
      <c r="F800" s="21"/>
      <c r="G800" s="20"/>
    </row>
    <row r="801" spans="1:7" ht="13.2">
      <c r="A801" s="26"/>
      <c r="B801" s="20"/>
      <c r="C801" s="20"/>
      <c r="D801" s="20"/>
      <c r="E801" s="20"/>
      <c r="F801" s="21"/>
      <c r="G801" s="20"/>
    </row>
    <row r="802" spans="1:7" ht="13.2">
      <c r="A802" s="26"/>
      <c r="B802" s="20"/>
      <c r="C802" s="20"/>
      <c r="D802" s="20"/>
      <c r="E802" s="20"/>
      <c r="F802" s="21"/>
      <c r="G802" s="20"/>
    </row>
    <row r="803" spans="1:7" ht="13.2">
      <c r="A803" s="26"/>
      <c r="B803" s="20"/>
      <c r="C803" s="20"/>
      <c r="D803" s="20"/>
      <c r="E803" s="20"/>
      <c r="F803" s="21"/>
      <c r="G803" s="20"/>
    </row>
    <row r="804" spans="1:7" ht="13.2">
      <c r="A804" s="26"/>
      <c r="B804" s="20"/>
      <c r="C804" s="20"/>
      <c r="D804" s="20"/>
      <c r="E804" s="20"/>
      <c r="F804" s="21"/>
      <c r="G804" s="20"/>
    </row>
    <row r="805" spans="1:7" ht="13.2">
      <c r="A805" s="26"/>
      <c r="B805" s="20"/>
      <c r="C805" s="20"/>
      <c r="D805" s="20"/>
      <c r="E805" s="20"/>
      <c r="F805" s="21"/>
      <c r="G805" s="20"/>
    </row>
    <row r="806" spans="1:7" ht="13.2">
      <c r="A806" s="26"/>
      <c r="B806" s="20"/>
      <c r="C806" s="20"/>
      <c r="D806" s="20"/>
      <c r="E806" s="20"/>
      <c r="F806" s="21"/>
      <c r="G806" s="20"/>
    </row>
    <row r="807" spans="1:7" ht="13.2">
      <c r="A807" s="26"/>
      <c r="B807" s="20"/>
      <c r="C807" s="20"/>
      <c r="D807" s="20"/>
      <c r="E807" s="20"/>
      <c r="F807" s="21"/>
      <c r="G807" s="20"/>
    </row>
    <row r="808" spans="1:7" ht="13.2">
      <c r="A808" s="26"/>
      <c r="B808" s="20"/>
      <c r="C808" s="20"/>
      <c r="D808" s="20"/>
      <c r="E808" s="20"/>
      <c r="F808" s="21"/>
      <c r="G808" s="20"/>
    </row>
    <row r="809" spans="1:7" ht="13.2">
      <c r="A809" s="26"/>
      <c r="B809" s="20"/>
      <c r="C809" s="20"/>
      <c r="D809" s="20"/>
      <c r="E809" s="20"/>
      <c r="F809" s="21"/>
      <c r="G809" s="20"/>
    </row>
    <row r="810" spans="1:7" ht="13.2">
      <c r="A810" s="26"/>
      <c r="B810" s="20"/>
      <c r="C810" s="20"/>
      <c r="D810" s="20"/>
      <c r="E810" s="20"/>
      <c r="F810" s="21"/>
      <c r="G810" s="20"/>
    </row>
    <row r="811" spans="1:7" ht="13.2">
      <c r="A811" s="26"/>
      <c r="B811" s="20"/>
      <c r="C811" s="20"/>
      <c r="D811" s="20"/>
      <c r="E811" s="20"/>
      <c r="F811" s="21"/>
      <c r="G811" s="20"/>
    </row>
    <row r="812" spans="1:7" ht="13.2">
      <c r="A812" s="26"/>
      <c r="B812" s="20"/>
      <c r="C812" s="20"/>
      <c r="D812" s="20"/>
      <c r="E812" s="20"/>
      <c r="F812" s="21"/>
      <c r="G812" s="20"/>
    </row>
    <row r="813" spans="1:7" ht="13.2">
      <c r="A813" s="26"/>
      <c r="B813" s="20"/>
      <c r="C813" s="20"/>
      <c r="D813" s="20"/>
      <c r="E813" s="20"/>
      <c r="F813" s="21"/>
      <c r="G813" s="20"/>
    </row>
    <row r="814" spans="1:7" ht="13.2">
      <c r="A814" s="26"/>
      <c r="B814" s="20"/>
      <c r="C814" s="20"/>
      <c r="D814" s="20"/>
      <c r="E814" s="20"/>
      <c r="F814" s="21"/>
      <c r="G814" s="20"/>
    </row>
    <row r="815" spans="1:7" ht="13.2">
      <c r="A815" s="26"/>
      <c r="B815" s="20"/>
      <c r="C815" s="20"/>
      <c r="D815" s="20"/>
      <c r="E815" s="20"/>
      <c r="F815" s="21"/>
      <c r="G815" s="20"/>
    </row>
    <row r="816" spans="1:7" ht="13.2">
      <c r="A816" s="26"/>
      <c r="B816" s="20"/>
      <c r="C816" s="20"/>
      <c r="D816" s="20"/>
      <c r="E816" s="20"/>
      <c r="F816" s="21"/>
      <c r="G816" s="20"/>
    </row>
    <row r="817" spans="1:7" ht="13.2">
      <c r="A817" s="26"/>
      <c r="B817" s="20"/>
      <c r="C817" s="20"/>
      <c r="D817" s="20"/>
      <c r="E817" s="20"/>
      <c r="F817" s="21"/>
      <c r="G817" s="20"/>
    </row>
    <row r="818" spans="1:7" ht="13.2">
      <c r="A818" s="26"/>
      <c r="B818" s="20"/>
      <c r="C818" s="20"/>
      <c r="D818" s="20"/>
      <c r="E818" s="20"/>
      <c r="F818" s="21"/>
      <c r="G818" s="20"/>
    </row>
    <row r="819" spans="1:7" ht="13.2">
      <c r="A819" s="26"/>
      <c r="B819" s="20"/>
      <c r="C819" s="20"/>
      <c r="D819" s="20"/>
      <c r="E819" s="20"/>
      <c r="F819" s="21"/>
      <c r="G819" s="20"/>
    </row>
    <row r="820" spans="1:7" ht="13.2">
      <c r="A820" s="26"/>
      <c r="B820" s="20"/>
      <c r="C820" s="20"/>
      <c r="D820" s="20"/>
      <c r="E820" s="20"/>
      <c r="F820" s="21"/>
      <c r="G820" s="20"/>
    </row>
    <row r="821" spans="1:7" ht="13.2">
      <c r="A821" s="26"/>
      <c r="B821" s="20"/>
      <c r="C821" s="20"/>
      <c r="D821" s="20"/>
      <c r="E821" s="20"/>
      <c r="F821" s="21"/>
      <c r="G821" s="20"/>
    </row>
    <row r="822" spans="1:7" ht="13.2">
      <c r="A822" s="26"/>
      <c r="B822" s="20"/>
      <c r="C822" s="20"/>
      <c r="D822" s="20"/>
      <c r="E822" s="20"/>
      <c r="F822" s="21"/>
      <c r="G822" s="20"/>
    </row>
    <row r="823" spans="1:7" ht="13.2">
      <c r="A823" s="26"/>
      <c r="B823" s="20"/>
      <c r="C823" s="20"/>
      <c r="D823" s="20"/>
      <c r="E823" s="20"/>
      <c r="F823" s="21"/>
      <c r="G823" s="20"/>
    </row>
    <row r="824" spans="1:7" ht="13.2">
      <c r="A824" s="26"/>
      <c r="B824" s="20"/>
      <c r="C824" s="20"/>
      <c r="D824" s="20"/>
      <c r="E824" s="20"/>
      <c r="F824" s="21"/>
      <c r="G824" s="20"/>
    </row>
    <row r="825" spans="1:7" ht="13.2">
      <c r="A825" s="26"/>
      <c r="B825" s="20"/>
      <c r="C825" s="20"/>
      <c r="D825" s="20"/>
      <c r="E825" s="20"/>
      <c r="F825" s="21"/>
      <c r="G825" s="20"/>
    </row>
    <row r="826" spans="1:7" ht="13.2">
      <c r="A826" s="26"/>
      <c r="B826" s="20"/>
      <c r="C826" s="20"/>
      <c r="D826" s="20"/>
      <c r="E826" s="20"/>
      <c r="F826" s="21"/>
      <c r="G826" s="20"/>
    </row>
    <row r="827" spans="1:7" ht="13.2">
      <c r="A827" s="26"/>
      <c r="B827" s="20"/>
      <c r="C827" s="20"/>
      <c r="D827" s="20"/>
      <c r="E827" s="20"/>
      <c r="F827" s="21"/>
      <c r="G827" s="20"/>
    </row>
    <row r="828" spans="1:7" ht="13.2">
      <c r="A828" s="26"/>
      <c r="B828" s="20"/>
      <c r="C828" s="20"/>
      <c r="D828" s="20"/>
      <c r="E828" s="20"/>
      <c r="F828" s="21"/>
      <c r="G828" s="20"/>
    </row>
    <row r="829" spans="1:7" ht="13.2">
      <c r="A829" s="26"/>
      <c r="B829" s="20"/>
      <c r="C829" s="20"/>
      <c r="D829" s="20"/>
      <c r="E829" s="20"/>
      <c r="F829" s="21"/>
      <c r="G829" s="20"/>
    </row>
    <row r="830" spans="1:7" ht="13.2">
      <c r="A830" s="26"/>
      <c r="B830" s="20"/>
      <c r="C830" s="20"/>
      <c r="D830" s="20"/>
      <c r="E830" s="20"/>
      <c r="F830" s="21"/>
      <c r="G830" s="20"/>
    </row>
    <row r="831" spans="1:7" ht="13.2">
      <c r="A831" s="26"/>
      <c r="B831" s="20"/>
      <c r="C831" s="20"/>
      <c r="D831" s="20"/>
      <c r="E831" s="20"/>
      <c r="F831" s="21"/>
      <c r="G831" s="20"/>
    </row>
    <row r="832" spans="1:7" ht="13.2">
      <c r="A832" s="26"/>
      <c r="B832" s="20"/>
      <c r="C832" s="20"/>
      <c r="D832" s="20"/>
      <c r="E832" s="20"/>
      <c r="F832" s="21"/>
      <c r="G832" s="20"/>
    </row>
    <row r="833" spans="1:7" ht="13.2">
      <c r="A833" s="26"/>
      <c r="B833" s="20"/>
      <c r="C833" s="20"/>
      <c r="D833" s="20"/>
      <c r="E833" s="20"/>
      <c r="F833" s="21"/>
      <c r="G833" s="20"/>
    </row>
    <row r="834" spans="1:7" ht="13.2">
      <c r="A834" s="26"/>
      <c r="B834" s="20"/>
      <c r="C834" s="20"/>
      <c r="D834" s="20"/>
      <c r="E834" s="20"/>
      <c r="F834" s="21"/>
      <c r="G834" s="20"/>
    </row>
    <row r="835" spans="1:7" ht="13.2">
      <c r="A835" s="26"/>
      <c r="B835" s="20"/>
      <c r="C835" s="20"/>
      <c r="D835" s="20"/>
      <c r="E835" s="20"/>
      <c r="F835" s="21"/>
      <c r="G835" s="20"/>
    </row>
    <row r="836" spans="1:7" ht="13.2">
      <c r="A836" s="26"/>
      <c r="B836" s="20"/>
      <c r="C836" s="20"/>
      <c r="D836" s="20"/>
      <c r="E836" s="20"/>
      <c r="F836" s="21"/>
      <c r="G836" s="20"/>
    </row>
    <row r="837" spans="1:7" ht="13.2">
      <c r="A837" s="26"/>
      <c r="B837" s="20"/>
      <c r="C837" s="20"/>
      <c r="D837" s="20"/>
      <c r="E837" s="20"/>
      <c r="F837" s="21"/>
      <c r="G837" s="20"/>
    </row>
    <row r="838" spans="1:7" ht="13.2">
      <c r="A838" s="26"/>
      <c r="B838" s="20"/>
      <c r="C838" s="20"/>
      <c r="D838" s="20"/>
      <c r="E838" s="20"/>
      <c r="F838" s="21"/>
      <c r="G838" s="20"/>
    </row>
    <row r="839" spans="1:7" ht="13.2">
      <c r="A839" s="26"/>
      <c r="B839" s="20"/>
      <c r="C839" s="20"/>
      <c r="D839" s="20"/>
      <c r="E839" s="20"/>
      <c r="F839" s="21"/>
      <c r="G839" s="20"/>
    </row>
    <row r="840" spans="1:7" ht="13.2">
      <c r="A840" s="26"/>
      <c r="B840" s="20"/>
      <c r="C840" s="20"/>
      <c r="D840" s="20"/>
      <c r="E840" s="20"/>
      <c r="F840" s="21"/>
      <c r="G840" s="20"/>
    </row>
    <row r="841" spans="1:7" ht="13.2">
      <c r="A841" s="26"/>
      <c r="B841" s="20"/>
      <c r="C841" s="20"/>
      <c r="D841" s="20"/>
      <c r="E841" s="20"/>
      <c r="F841" s="21"/>
      <c r="G841" s="20"/>
    </row>
    <row r="842" spans="1:7" ht="13.2">
      <c r="A842" s="26"/>
      <c r="B842" s="20"/>
      <c r="C842" s="20"/>
      <c r="D842" s="20"/>
      <c r="E842" s="20"/>
      <c r="F842" s="21"/>
      <c r="G842" s="20"/>
    </row>
    <row r="843" spans="1:7" ht="13.2">
      <c r="A843" s="26"/>
      <c r="B843" s="20"/>
      <c r="C843" s="20"/>
      <c r="D843" s="20"/>
      <c r="E843" s="20"/>
      <c r="F843" s="21"/>
      <c r="G843" s="20"/>
    </row>
    <row r="844" spans="1:7" ht="13.2">
      <c r="A844" s="26"/>
      <c r="B844" s="20"/>
      <c r="C844" s="20"/>
      <c r="D844" s="20"/>
      <c r="E844" s="20"/>
      <c r="F844" s="21"/>
      <c r="G844" s="20"/>
    </row>
    <row r="845" spans="1:7" ht="13.2">
      <c r="A845" s="26"/>
      <c r="B845" s="20"/>
      <c r="C845" s="20"/>
      <c r="D845" s="20"/>
      <c r="E845" s="20"/>
      <c r="F845" s="21"/>
      <c r="G845" s="20"/>
    </row>
    <row r="846" spans="1:7" ht="13.2">
      <c r="A846" s="26"/>
      <c r="B846" s="20"/>
      <c r="C846" s="20"/>
      <c r="D846" s="20"/>
      <c r="E846" s="20"/>
      <c r="F846" s="21"/>
      <c r="G846" s="20"/>
    </row>
    <row r="847" spans="1:7" ht="13.2">
      <c r="A847" s="26"/>
      <c r="B847" s="20"/>
      <c r="C847" s="20"/>
      <c r="D847" s="20"/>
      <c r="E847" s="20"/>
      <c r="F847" s="21"/>
      <c r="G847" s="20"/>
    </row>
    <row r="848" spans="1:7" ht="13.2">
      <c r="A848" s="26"/>
      <c r="B848" s="20"/>
      <c r="C848" s="20"/>
      <c r="D848" s="20"/>
      <c r="E848" s="20"/>
      <c r="F848" s="21"/>
      <c r="G848" s="20"/>
    </row>
    <row r="849" spans="1:7" ht="13.2">
      <c r="A849" s="26"/>
      <c r="B849" s="20"/>
      <c r="C849" s="20"/>
      <c r="D849" s="20"/>
      <c r="E849" s="20"/>
      <c r="F849" s="21"/>
      <c r="G849" s="20"/>
    </row>
    <row r="850" spans="1:7" ht="13.2">
      <c r="A850" s="26"/>
      <c r="B850" s="20"/>
      <c r="C850" s="20"/>
      <c r="D850" s="20"/>
      <c r="E850" s="20"/>
      <c r="F850" s="21"/>
      <c r="G850" s="20"/>
    </row>
    <row r="851" spans="1:7" ht="13.2">
      <c r="A851" s="26"/>
      <c r="B851" s="20"/>
      <c r="C851" s="20"/>
      <c r="D851" s="20"/>
      <c r="E851" s="20"/>
      <c r="F851" s="21"/>
      <c r="G851" s="20"/>
    </row>
    <row r="852" spans="1:7" ht="13.2">
      <c r="A852" s="26"/>
      <c r="B852" s="20"/>
      <c r="C852" s="20"/>
      <c r="D852" s="20"/>
      <c r="E852" s="20"/>
      <c r="F852" s="21"/>
      <c r="G852" s="20"/>
    </row>
    <row r="853" spans="1:7" ht="13.2">
      <c r="A853" s="26"/>
      <c r="B853" s="20"/>
      <c r="C853" s="20"/>
      <c r="D853" s="20"/>
      <c r="E853" s="20"/>
      <c r="F853" s="21"/>
      <c r="G853" s="20"/>
    </row>
    <row r="854" spans="1:7" ht="13.2">
      <c r="A854" s="26"/>
      <c r="B854" s="20"/>
      <c r="C854" s="20"/>
      <c r="D854" s="20"/>
      <c r="E854" s="20"/>
      <c r="F854" s="21"/>
      <c r="G854" s="20"/>
    </row>
    <row r="855" spans="1:7" ht="13.2">
      <c r="A855" s="26"/>
      <c r="B855" s="20"/>
      <c r="C855" s="20"/>
      <c r="D855" s="20"/>
      <c r="E855" s="20"/>
      <c r="F855" s="21"/>
      <c r="G855" s="20"/>
    </row>
    <row r="856" spans="1:7" ht="13.2">
      <c r="A856" s="26"/>
      <c r="B856" s="20"/>
      <c r="C856" s="20"/>
      <c r="D856" s="20"/>
      <c r="E856" s="20"/>
      <c r="F856" s="21"/>
      <c r="G856" s="20"/>
    </row>
    <row r="857" spans="1:7" ht="13.2">
      <c r="A857" s="26"/>
      <c r="B857" s="20"/>
      <c r="C857" s="20"/>
      <c r="D857" s="20"/>
      <c r="E857" s="20"/>
      <c r="F857" s="21"/>
      <c r="G857" s="20"/>
    </row>
    <row r="858" spans="1:7" ht="13.2">
      <c r="A858" s="26"/>
      <c r="B858" s="20"/>
      <c r="C858" s="20"/>
      <c r="D858" s="20"/>
      <c r="E858" s="20"/>
      <c r="F858" s="21"/>
      <c r="G858" s="20"/>
    </row>
    <row r="859" spans="1:7" ht="13.2">
      <c r="A859" s="26"/>
      <c r="B859" s="20"/>
      <c r="C859" s="20"/>
      <c r="D859" s="20"/>
      <c r="E859" s="20"/>
      <c r="F859" s="21"/>
      <c r="G859" s="20"/>
    </row>
    <row r="860" spans="1:7" ht="13.2">
      <c r="A860" s="26"/>
      <c r="B860" s="20"/>
      <c r="C860" s="20"/>
      <c r="D860" s="20"/>
      <c r="E860" s="20"/>
      <c r="F860" s="21"/>
      <c r="G860" s="20"/>
    </row>
    <row r="861" spans="1:7" ht="13.2">
      <c r="A861" s="26"/>
      <c r="B861" s="20"/>
      <c r="C861" s="20"/>
      <c r="D861" s="20"/>
      <c r="E861" s="20"/>
      <c r="F861" s="21"/>
      <c r="G861" s="20"/>
    </row>
    <row r="862" spans="1:7" ht="13.2">
      <c r="A862" s="26"/>
      <c r="B862" s="20"/>
      <c r="C862" s="20"/>
      <c r="D862" s="20"/>
      <c r="E862" s="20"/>
      <c r="F862" s="21"/>
      <c r="G862" s="20"/>
    </row>
    <row r="863" spans="1:7" ht="13.2">
      <c r="A863" s="26"/>
      <c r="B863" s="20"/>
      <c r="C863" s="20"/>
      <c r="D863" s="20"/>
      <c r="E863" s="20"/>
      <c r="F863" s="21"/>
      <c r="G863" s="20"/>
    </row>
    <row r="864" spans="1:7" ht="13.2">
      <c r="A864" s="26"/>
      <c r="B864" s="20"/>
      <c r="C864" s="20"/>
      <c r="D864" s="20"/>
      <c r="E864" s="20"/>
      <c r="F864" s="21"/>
      <c r="G864" s="20"/>
    </row>
    <row r="865" spans="1:7" ht="13.2">
      <c r="A865" s="26"/>
      <c r="B865" s="20"/>
      <c r="C865" s="20"/>
      <c r="D865" s="20"/>
      <c r="E865" s="20"/>
      <c r="F865" s="21"/>
      <c r="G865" s="20"/>
    </row>
    <row r="866" spans="1:7" ht="13.2">
      <c r="A866" s="26"/>
      <c r="B866" s="20"/>
      <c r="C866" s="20"/>
      <c r="D866" s="20"/>
      <c r="E866" s="20"/>
      <c r="F866" s="21"/>
      <c r="G866" s="20"/>
    </row>
    <row r="867" spans="1:7" ht="13.2">
      <c r="A867" s="26"/>
      <c r="B867" s="20"/>
      <c r="C867" s="20"/>
      <c r="D867" s="20"/>
      <c r="E867" s="20"/>
      <c r="F867" s="21"/>
      <c r="G867" s="20"/>
    </row>
    <row r="868" spans="1:7" ht="13.2">
      <c r="A868" s="26"/>
      <c r="B868" s="20"/>
      <c r="C868" s="20"/>
      <c r="D868" s="20"/>
      <c r="E868" s="20"/>
      <c r="F868" s="21"/>
      <c r="G868" s="20"/>
    </row>
    <row r="869" spans="1:7" ht="13.2">
      <c r="A869" s="26"/>
      <c r="B869" s="20"/>
      <c r="C869" s="20"/>
      <c r="D869" s="20"/>
      <c r="E869" s="20"/>
      <c r="F869" s="21"/>
      <c r="G869" s="20"/>
    </row>
    <row r="870" spans="1:7" ht="13.2">
      <c r="A870" s="26"/>
      <c r="B870" s="20"/>
      <c r="C870" s="20"/>
      <c r="D870" s="20"/>
      <c r="E870" s="20"/>
      <c r="F870" s="21"/>
      <c r="G870" s="20"/>
    </row>
    <row r="871" spans="1:7" ht="13.2">
      <c r="A871" s="26"/>
      <c r="B871" s="20"/>
      <c r="C871" s="20"/>
      <c r="D871" s="20"/>
      <c r="E871" s="20"/>
      <c r="F871" s="21"/>
      <c r="G871" s="20"/>
    </row>
    <row r="872" spans="1:7" ht="13.2">
      <c r="A872" s="26"/>
      <c r="B872" s="20"/>
      <c r="C872" s="20"/>
      <c r="D872" s="20"/>
      <c r="E872" s="20"/>
      <c r="F872" s="21"/>
      <c r="G872" s="20"/>
    </row>
    <row r="873" spans="1:7" ht="13.2">
      <c r="A873" s="26"/>
      <c r="B873" s="20"/>
      <c r="C873" s="20"/>
      <c r="D873" s="20"/>
      <c r="E873" s="20"/>
      <c r="F873" s="21"/>
      <c r="G873" s="20"/>
    </row>
    <row r="874" spans="1:7" ht="13.2">
      <c r="A874" s="26"/>
      <c r="B874" s="20"/>
      <c r="C874" s="20"/>
      <c r="D874" s="20"/>
      <c r="E874" s="20"/>
      <c r="F874" s="21"/>
      <c r="G874" s="20"/>
    </row>
    <row r="875" spans="1:7" ht="13.2">
      <c r="A875" s="26"/>
      <c r="B875" s="20"/>
      <c r="C875" s="20"/>
      <c r="D875" s="20"/>
      <c r="E875" s="20"/>
      <c r="F875" s="21"/>
      <c r="G875" s="20"/>
    </row>
    <row r="876" spans="1:7" ht="13.2">
      <c r="A876" s="26"/>
      <c r="B876" s="20"/>
      <c r="C876" s="20"/>
      <c r="D876" s="20"/>
      <c r="E876" s="20"/>
      <c r="F876" s="21"/>
      <c r="G876" s="20"/>
    </row>
    <row r="877" spans="1:7" ht="13.2">
      <c r="A877" s="26"/>
      <c r="B877" s="20"/>
      <c r="C877" s="20"/>
      <c r="D877" s="20"/>
      <c r="E877" s="20"/>
      <c r="F877" s="21"/>
      <c r="G877" s="20"/>
    </row>
    <row r="878" spans="1:7" ht="13.2">
      <c r="A878" s="26"/>
      <c r="B878" s="20"/>
      <c r="C878" s="20"/>
      <c r="D878" s="20"/>
      <c r="E878" s="20"/>
      <c r="F878" s="21"/>
      <c r="G878" s="20"/>
    </row>
    <row r="879" spans="1:7" ht="13.2">
      <c r="A879" s="26"/>
      <c r="B879" s="20"/>
      <c r="C879" s="20"/>
      <c r="D879" s="20"/>
      <c r="E879" s="20"/>
      <c r="F879" s="21"/>
      <c r="G879" s="20"/>
    </row>
    <row r="880" spans="1:7" ht="13.2">
      <c r="A880" s="26"/>
      <c r="B880" s="20"/>
      <c r="C880" s="20"/>
      <c r="D880" s="20"/>
      <c r="E880" s="20"/>
      <c r="F880" s="21"/>
      <c r="G880" s="20"/>
    </row>
    <row r="881" spans="1:7" ht="13.2">
      <c r="A881" s="26"/>
      <c r="B881" s="20"/>
      <c r="C881" s="20"/>
      <c r="D881" s="20"/>
      <c r="E881" s="20"/>
      <c r="F881" s="21"/>
      <c r="G881" s="20"/>
    </row>
    <row r="882" spans="1:7" ht="13.2">
      <c r="A882" s="26"/>
      <c r="B882" s="20"/>
      <c r="C882" s="20"/>
      <c r="D882" s="20"/>
      <c r="E882" s="20"/>
      <c r="F882" s="21"/>
      <c r="G882" s="20"/>
    </row>
    <row r="883" spans="1:7" ht="13.2">
      <c r="A883" s="26"/>
      <c r="B883" s="20"/>
      <c r="C883" s="20"/>
      <c r="D883" s="20"/>
      <c r="E883" s="20"/>
      <c r="F883" s="21"/>
      <c r="G883" s="20"/>
    </row>
    <row r="884" spans="1:7" ht="13.2">
      <c r="A884" s="26"/>
      <c r="B884" s="20"/>
      <c r="C884" s="20"/>
      <c r="D884" s="20"/>
      <c r="E884" s="20"/>
      <c r="F884" s="21"/>
      <c r="G884" s="20"/>
    </row>
    <row r="885" spans="1:7" ht="13.2">
      <c r="A885" s="26"/>
      <c r="B885" s="20"/>
      <c r="C885" s="20"/>
      <c r="D885" s="20"/>
      <c r="E885" s="20"/>
      <c r="F885" s="21"/>
      <c r="G885" s="20"/>
    </row>
    <row r="886" spans="1:7" ht="13.2">
      <c r="A886" s="26"/>
      <c r="B886" s="20"/>
      <c r="C886" s="20"/>
      <c r="D886" s="20"/>
      <c r="E886" s="20"/>
      <c r="F886" s="21"/>
      <c r="G886" s="20"/>
    </row>
    <row r="887" spans="1:7" ht="13.2">
      <c r="A887" s="26"/>
      <c r="B887" s="20"/>
      <c r="C887" s="20"/>
      <c r="D887" s="20"/>
      <c r="E887" s="20"/>
      <c r="F887" s="21"/>
      <c r="G887" s="20"/>
    </row>
    <row r="888" spans="1:7" ht="13.2">
      <c r="A888" s="26"/>
      <c r="B888" s="20"/>
      <c r="C888" s="20"/>
      <c r="D888" s="20"/>
      <c r="E888" s="20"/>
      <c r="F888" s="21"/>
      <c r="G888" s="20"/>
    </row>
    <row r="889" spans="1:7" ht="13.2">
      <c r="A889" s="26"/>
      <c r="B889" s="20"/>
      <c r="C889" s="20"/>
      <c r="D889" s="20"/>
      <c r="E889" s="20"/>
      <c r="F889" s="21"/>
      <c r="G889" s="20"/>
    </row>
    <row r="890" spans="1:7" ht="13.2">
      <c r="A890" s="26"/>
      <c r="B890" s="20"/>
      <c r="C890" s="20"/>
      <c r="D890" s="20"/>
      <c r="E890" s="20"/>
      <c r="F890" s="21"/>
      <c r="G890" s="20"/>
    </row>
    <row r="891" spans="1:7" ht="13.2">
      <c r="A891" s="26"/>
      <c r="B891" s="20"/>
      <c r="C891" s="20"/>
      <c r="D891" s="20"/>
      <c r="E891" s="20"/>
      <c r="F891" s="21"/>
      <c r="G891" s="20"/>
    </row>
    <row r="892" spans="1:7" ht="13.2">
      <c r="A892" s="26"/>
      <c r="B892" s="20"/>
      <c r="C892" s="20"/>
      <c r="D892" s="20"/>
      <c r="E892" s="20"/>
      <c r="F892" s="21"/>
      <c r="G892" s="20"/>
    </row>
    <row r="893" spans="1:7" ht="13.2">
      <c r="A893" s="26"/>
      <c r="B893" s="20"/>
      <c r="C893" s="20"/>
      <c r="D893" s="20"/>
      <c r="E893" s="20"/>
      <c r="F893" s="21"/>
      <c r="G893" s="20"/>
    </row>
    <row r="894" spans="1:7" ht="13.2">
      <c r="A894" s="26"/>
      <c r="B894" s="20"/>
      <c r="C894" s="20"/>
      <c r="D894" s="20"/>
      <c r="E894" s="20"/>
      <c r="F894" s="21"/>
      <c r="G894" s="20"/>
    </row>
    <row r="895" spans="1:7" ht="13.2">
      <c r="A895" s="26"/>
      <c r="B895" s="20"/>
      <c r="C895" s="20"/>
      <c r="D895" s="20"/>
      <c r="E895" s="20"/>
      <c r="F895" s="21"/>
      <c r="G895" s="20"/>
    </row>
    <row r="896" spans="1:7" ht="13.2">
      <c r="A896" s="26"/>
      <c r="B896" s="20"/>
      <c r="C896" s="20"/>
      <c r="D896" s="20"/>
      <c r="E896" s="20"/>
      <c r="F896" s="21"/>
      <c r="G896" s="20"/>
    </row>
    <row r="897" spans="1:7" ht="13.2">
      <c r="A897" s="26"/>
      <c r="B897" s="20"/>
      <c r="C897" s="20"/>
      <c r="D897" s="20"/>
      <c r="E897" s="20"/>
      <c r="F897" s="21"/>
      <c r="G897" s="20"/>
    </row>
    <row r="898" spans="1:7" ht="13.2">
      <c r="A898" s="26"/>
      <c r="B898" s="20"/>
      <c r="C898" s="20"/>
      <c r="D898" s="20"/>
      <c r="E898" s="20"/>
      <c r="F898" s="21"/>
      <c r="G898" s="20"/>
    </row>
    <row r="899" spans="1:7" ht="13.2">
      <c r="A899" s="26"/>
      <c r="B899" s="20"/>
      <c r="C899" s="20"/>
      <c r="D899" s="20"/>
      <c r="E899" s="20"/>
      <c r="F899" s="21"/>
      <c r="G899" s="20"/>
    </row>
    <row r="900" spans="1:7" ht="13.2">
      <c r="A900" s="26"/>
      <c r="B900" s="20"/>
      <c r="C900" s="20"/>
      <c r="D900" s="20"/>
      <c r="E900" s="20"/>
      <c r="F900" s="21"/>
      <c r="G900" s="20"/>
    </row>
    <row r="901" spans="1:7" ht="13.2">
      <c r="A901" s="26"/>
      <c r="B901" s="20"/>
      <c r="C901" s="20"/>
      <c r="D901" s="20"/>
      <c r="E901" s="20"/>
      <c r="F901" s="21"/>
      <c r="G901" s="20"/>
    </row>
    <row r="902" spans="1:7" ht="13.2">
      <c r="A902" s="26"/>
      <c r="B902" s="20"/>
      <c r="C902" s="20"/>
      <c r="D902" s="20"/>
      <c r="E902" s="20"/>
      <c r="F902" s="21"/>
      <c r="G902" s="20"/>
    </row>
    <row r="903" spans="1:7" ht="13.2">
      <c r="A903" s="26"/>
      <c r="B903" s="20"/>
      <c r="C903" s="20"/>
      <c r="D903" s="20"/>
      <c r="E903" s="20"/>
      <c r="F903" s="21"/>
      <c r="G903" s="20"/>
    </row>
    <row r="904" spans="1:7" ht="13.2">
      <c r="A904" s="26"/>
      <c r="B904" s="20"/>
      <c r="C904" s="20"/>
      <c r="D904" s="20"/>
      <c r="E904" s="20"/>
      <c r="F904" s="21"/>
      <c r="G904" s="20"/>
    </row>
    <row r="905" spans="1:7" ht="13.2">
      <c r="A905" s="26"/>
      <c r="B905" s="20"/>
      <c r="C905" s="20"/>
      <c r="D905" s="20"/>
      <c r="E905" s="20"/>
      <c r="F905" s="21"/>
      <c r="G905" s="20"/>
    </row>
    <row r="906" spans="1:7" ht="13.2">
      <c r="A906" s="26"/>
      <c r="B906" s="20"/>
      <c r="C906" s="20"/>
      <c r="D906" s="20"/>
      <c r="E906" s="20"/>
      <c r="F906" s="21"/>
      <c r="G906" s="20"/>
    </row>
    <row r="907" spans="1:7" ht="13.2">
      <c r="A907" s="26"/>
      <c r="B907" s="20"/>
      <c r="C907" s="20"/>
      <c r="D907" s="20"/>
      <c r="E907" s="20"/>
      <c r="F907" s="21"/>
      <c r="G907" s="20"/>
    </row>
    <row r="908" spans="1:7" ht="13.2">
      <c r="A908" s="26"/>
      <c r="B908" s="20"/>
      <c r="C908" s="20"/>
      <c r="D908" s="20"/>
      <c r="E908" s="20"/>
      <c r="F908" s="21"/>
      <c r="G908" s="20"/>
    </row>
    <row r="909" spans="1:7" ht="13.2">
      <c r="A909" s="26"/>
      <c r="B909" s="20"/>
      <c r="C909" s="20"/>
      <c r="D909" s="20"/>
      <c r="E909" s="20"/>
      <c r="F909" s="21"/>
      <c r="G909" s="20"/>
    </row>
    <row r="910" spans="1:7" ht="13.2">
      <c r="A910" s="26"/>
      <c r="B910" s="20"/>
      <c r="C910" s="20"/>
      <c r="D910" s="20"/>
      <c r="E910" s="20"/>
      <c r="F910" s="21"/>
      <c r="G910" s="20"/>
    </row>
    <row r="911" spans="1:7" ht="13.2">
      <c r="A911" s="26"/>
      <c r="B911" s="20"/>
      <c r="C911" s="20"/>
      <c r="D911" s="20"/>
      <c r="E911" s="20"/>
      <c r="F911" s="21"/>
      <c r="G911" s="20"/>
    </row>
    <row r="912" spans="1:7" ht="13.2">
      <c r="A912" s="26"/>
      <c r="B912" s="20"/>
      <c r="C912" s="20"/>
      <c r="D912" s="20"/>
      <c r="E912" s="20"/>
      <c r="F912" s="21"/>
      <c r="G912" s="20"/>
    </row>
    <row r="913" spans="1:7" ht="13.2">
      <c r="A913" s="26"/>
      <c r="B913" s="20"/>
      <c r="C913" s="20"/>
      <c r="D913" s="20"/>
      <c r="E913" s="20"/>
      <c r="F913" s="21"/>
      <c r="G913" s="20"/>
    </row>
    <row r="914" spans="1:7" ht="13.2">
      <c r="A914" s="26"/>
      <c r="B914" s="20"/>
      <c r="C914" s="20"/>
      <c r="D914" s="20"/>
      <c r="E914" s="20"/>
      <c r="F914" s="21"/>
      <c r="G914" s="20"/>
    </row>
    <row r="915" spans="1:7" ht="13.2">
      <c r="A915" s="26"/>
      <c r="B915" s="20"/>
      <c r="C915" s="20"/>
      <c r="D915" s="20"/>
      <c r="E915" s="20"/>
      <c r="F915" s="21"/>
      <c r="G915" s="20"/>
    </row>
    <row r="916" spans="1:7" ht="13.2">
      <c r="A916" s="26"/>
      <c r="B916" s="20"/>
      <c r="C916" s="20"/>
      <c r="D916" s="20"/>
      <c r="E916" s="20"/>
      <c r="F916" s="21"/>
      <c r="G916" s="20"/>
    </row>
    <row r="917" spans="1:7" ht="13.2">
      <c r="A917" s="26"/>
      <c r="B917" s="20"/>
      <c r="C917" s="20"/>
      <c r="D917" s="20"/>
      <c r="E917" s="20"/>
      <c r="F917" s="21"/>
      <c r="G917" s="20"/>
    </row>
    <row r="918" spans="1:7" ht="13.2">
      <c r="A918" s="26"/>
      <c r="B918" s="20"/>
      <c r="C918" s="20"/>
      <c r="D918" s="20"/>
      <c r="E918" s="20"/>
      <c r="F918" s="21"/>
      <c r="G918" s="20"/>
    </row>
    <row r="919" spans="1:7" ht="13.2">
      <c r="A919" s="26"/>
      <c r="B919" s="20"/>
      <c r="C919" s="20"/>
      <c r="D919" s="20"/>
      <c r="E919" s="20"/>
      <c r="F919" s="21"/>
      <c r="G919" s="20"/>
    </row>
    <row r="920" spans="1:7" ht="13.2">
      <c r="A920" s="26"/>
      <c r="B920" s="20"/>
      <c r="C920" s="20"/>
      <c r="D920" s="20"/>
      <c r="E920" s="20"/>
      <c r="F920" s="21"/>
      <c r="G920" s="20"/>
    </row>
    <row r="921" spans="1:7" ht="13.2">
      <c r="A921" s="26"/>
      <c r="B921" s="20"/>
      <c r="C921" s="20"/>
      <c r="D921" s="20"/>
      <c r="E921" s="20"/>
      <c r="F921" s="21"/>
      <c r="G921" s="20"/>
    </row>
    <row r="922" spans="1:7" ht="13.2">
      <c r="A922" s="26"/>
      <c r="B922" s="20"/>
      <c r="C922" s="20"/>
      <c r="D922" s="20"/>
      <c r="E922" s="20"/>
      <c r="F922" s="21"/>
      <c r="G922" s="20"/>
    </row>
    <row r="923" spans="1:7" ht="13.2">
      <c r="A923" s="26"/>
      <c r="B923" s="20"/>
      <c r="C923" s="20"/>
      <c r="D923" s="20"/>
      <c r="E923" s="20"/>
      <c r="F923" s="21"/>
      <c r="G923" s="20"/>
    </row>
    <row r="924" spans="1:7" ht="13.2">
      <c r="A924" s="26"/>
      <c r="B924" s="20"/>
      <c r="C924" s="20"/>
      <c r="D924" s="20"/>
      <c r="E924" s="20"/>
      <c r="F924" s="21"/>
      <c r="G924" s="20"/>
    </row>
    <row r="925" spans="1:7" ht="13.2">
      <c r="A925" s="26"/>
      <c r="B925" s="20"/>
      <c r="C925" s="20"/>
      <c r="D925" s="20"/>
      <c r="E925" s="20"/>
      <c r="F925" s="21"/>
      <c r="G925" s="20"/>
    </row>
    <row r="926" spans="1:7" ht="13.2">
      <c r="A926" s="26"/>
      <c r="B926" s="20"/>
      <c r="C926" s="20"/>
      <c r="D926" s="20"/>
      <c r="E926" s="20"/>
      <c r="F926" s="21"/>
      <c r="G926" s="20"/>
    </row>
    <row r="927" spans="1:7" ht="13.2">
      <c r="A927" s="26"/>
      <c r="B927" s="20"/>
      <c r="C927" s="20"/>
      <c r="D927" s="20"/>
      <c r="E927" s="20"/>
      <c r="F927" s="21"/>
      <c r="G927" s="20"/>
    </row>
    <row r="928" spans="1:7" ht="13.2">
      <c r="A928" s="26"/>
      <c r="B928" s="20"/>
      <c r="C928" s="20"/>
      <c r="D928" s="20"/>
      <c r="E928" s="20"/>
      <c r="F928" s="21"/>
      <c r="G928" s="20"/>
    </row>
    <row r="929" spans="1:7" ht="13.2">
      <c r="A929" s="26"/>
      <c r="B929" s="20"/>
      <c r="C929" s="20"/>
      <c r="D929" s="20"/>
      <c r="E929" s="20"/>
      <c r="F929" s="21"/>
      <c r="G929" s="20"/>
    </row>
    <row r="930" spans="1:7" ht="13.2">
      <c r="A930" s="26"/>
      <c r="B930" s="20"/>
      <c r="C930" s="20"/>
      <c r="D930" s="20"/>
      <c r="E930" s="20"/>
      <c r="F930" s="21"/>
      <c r="G930" s="20"/>
    </row>
    <row r="931" spans="1:7" ht="13.2">
      <c r="A931" s="26"/>
      <c r="B931" s="20"/>
      <c r="C931" s="20"/>
      <c r="D931" s="20"/>
      <c r="E931" s="20"/>
      <c r="F931" s="21"/>
      <c r="G931" s="20"/>
    </row>
    <row r="932" spans="1:7" ht="13.2">
      <c r="A932" s="26"/>
      <c r="B932" s="20"/>
      <c r="C932" s="20"/>
      <c r="D932" s="20"/>
      <c r="E932" s="20"/>
      <c r="F932" s="21"/>
      <c r="G932" s="20"/>
    </row>
    <row r="933" spans="1:7" ht="13.2">
      <c r="A933" s="26"/>
      <c r="B933" s="20"/>
      <c r="C933" s="20"/>
      <c r="D933" s="20"/>
      <c r="E933" s="20"/>
      <c r="F933" s="21"/>
      <c r="G933" s="20"/>
    </row>
    <row r="934" spans="1:7" ht="13.2">
      <c r="A934" s="26"/>
      <c r="B934" s="20"/>
      <c r="C934" s="20"/>
      <c r="D934" s="20"/>
      <c r="E934" s="20"/>
      <c r="F934" s="21"/>
      <c r="G934" s="20"/>
    </row>
    <row r="935" spans="1:7" ht="13.2">
      <c r="A935" s="26"/>
      <c r="B935" s="20"/>
      <c r="C935" s="20"/>
      <c r="D935" s="20"/>
      <c r="E935" s="20"/>
      <c r="F935" s="21"/>
      <c r="G935" s="20"/>
    </row>
    <row r="936" spans="1:7" ht="13.2">
      <c r="A936" s="26"/>
      <c r="B936" s="20"/>
      <c r="C936" s="20"/>
      <c r="D936" s="20"/>
      <c r="E936" s="20"/>
      <c r="F936" s="21"/>
      <c r="G936" s="20"/>
    </row>
    <row r="937" spans="1:7" ht="13.2">
      <c r="A937" s="26"/>
      <c r="B937" s="20"/>
      <c r="C937" s="20"/>
      <c r="D937" s="20"/>
      <c r="E937" s="20"/>
      <c r="F937" s="21"/>
      <c r="G937" s="20"/>
    </row>
    <row r="938" spans="1:7" ht="13.2">
      <c r="A938" s="26"/>
      <c r="B938" s="20"/>
      <c r="C938" s="20"/>
      <c r="D938" s="20"/>
      <c r="E938" s="20"/>
      <c r="F938" s="21"/>
      <c r="G938" s="20"/>
    </row>
    <row r="939" spans="1:7" ht="13.2">
      <c r="A939" s="26"/>
      <c r="B939" s="20"/>
      <c r="C939" s="20"/>
      <c r="D939" s="20"/>
      <c r="E939" s="20"/>
      <c r="F939" s="21"/>
      <c r="G939" s="20"/>
    </row>
    <row r="940" spans="1:7" ht="13.2">
      <c r="A940" s="26"/>
      <c r="B940" s="20"/>
      <c r="C940" s="20"/>
      <c r="D940" s="20"/>
      <c r="E940" s="20"/>
      <c r="F940" s="21"/>
      <c r="G940" s="20"/>
    </row>
    <row r="941" spans="1:7" ht="13.2">
      <c r="A941" s="26"/>
      <c r="B941" s="20"/>
      <c r="C941" s="20"/>
      <c r="D941" s="20"/>
      <c r="E941" s="20"/>
      <c r="F941" s="21"/>
      <c r="G941" s="20"/>
    </row>
    <row r="942" spans="1:7" ht="13.2">
      <c r="A942" s="26"/>
      <c r="B942" s="20"/>
      <c r="C942" s="20"/>
      <c r="D942" s="20"/>
      <c r="E942" s="20"/>
      <c r="F942" s="21"/>
      <c r="G942" s="20"/>
    </row>
    <row r="943" spans="1:7" ht="13.2">
      <c r="A943" s="26"/>
      <c r="B943" s="20"/>
      <c r="C943" s="20"/>
      <c r="D943" s="20"/>
      <c r="E943" s="20"/>
      <c r="F943" s="21"/>
      <c r="G943" s="20"/>
    </row>
    <row r="944" spans="1:7" ht="13.2">
      <c r="A944" s="26"/>
      <c r="B944" s="20"/>
      <c r="C944" s="20"/>
      <c r="D944" s="20"/>
      <c r="E944" s="20"/>
      <c r="F944" s="21"/>
      <c r="G944" s="20"/>
    </row>
    <row r="945" spans="1:7" ht="13.2">
      <c r="A945" s="26"/>
      <c r="B945" s="20"/>
      <c r="C945" s="20"/>
      <c r="D945" s="20"/>
      <c r="E945" s="20"/>
      <c r="F945" s="21"/>
      <c r="G945" s="20"/>
    </row>
    <row r="946" spans="1:7" ht="13.2">
      <c r="A946" s="26"/>
      <c r="B946" s="20"/>
      <c r="C946" s="20"/>
      <c r="D946" s="20"/>
      <c r="E946" s="20"/>
      <c r="F946" s="21"/>
      <c r="G946" s="20"/>
    </row>
    <row r="947" spans="1:7" ht="13.2">
      <c r="A947" s="26"/>
      <c r="B947" s="20"/>
      <c r="C947" s="20"/>
      <c r="D947" s="20"/>
      <c r="E947" s="20"/>
      <c r="F947" s="21"/>
      <c r="G947" s="20"/>
    </row>
    <row r="948" spans="1:7" ht="13.2">
      <c r="A948" s="26"/>
      <c r="B948" s="20"/>
      <c r="C948" s="20"/>
      <c r="D948" s="20"/>
      <c r="E948" s="20"/>
      <c r="F948" s="21"/>
      <c r="G948" s="20"/>
    </row>
    <row r="949" spans="1:7" ht="13.2">
      <c r="A949" s="26"/>
      <c r="B949" s="20"/>
      <c r="C949" s="20"/>
      <c r="D949" s="20"/>
      <c r="E949" s="20"/>
      <c r="F949" s="21"/>
      <c r="G949" s="20"/>
    </row>
    <row r="950" spans="1:7" ht="13.2">
      <c r="A950" s="26"/>
      <c r="B950" s="20"/>
      <c r="C950" s="20"/>
      <c r="D950" s="20"/>
      <c r="E950" s="20"/>
      <c r="F950" s="21"/>
      <c r="G950" s="20"/>
    </row>
    <row r="951" spans="1:7" ht="13.2">
      <c r="A951" s="26"/>
      <c r="B951" s="20"/>
      <c r="C951" s="20"/>
      <c r="D951" s="20"/>
      <c r="E951" s="20"/>
      <c r="F951" s="21"/>
      <c r="G951" s="20"/>
    </row>
    <row r="952" spans="1:7" ht="13.2">
      <c r="A952" s="26"/>
      <c r="B952" s="20"/>
      <c r="C952" s="20"/>
      <c r="D952" s="20"/>
      <c r="E952" s="20"/>
      <c r="F952" s="21"/>
      <c r="G952" s="20"/>
    </row>
    <row r="953" spans="1:7" ht="13.2">
      <c r="A953" s="26"/>
      <c r="B953" s="20"/>
      <c r="C953" s="20"/>
      <c r="D953" s="20"/>
      <c r="E953" s="20"/>
      <c r="F953" s="21"/>
      <c r="G953" s="20"/>
    </row>
    <row r="954" spans="1:7" ht="13.2">
      <c r="A954" s="26"/>
      <c r="B954" s="20"/>
      <c r="C954" s="20"/>
      <c r="D954" s="20"/>
      <c r="E954" s="20"/>
      <c r="F954" s="21"/>
      <c r="G954" s="20"/>
    </row>
    <row r="955" spans="1:7" ht="13.2">
      <c r="A955" s="26"/>
      <c r="B955" s="20"/>
      <c r="C955" s="20"/>
      <c r="D955" s="20"/>
      <c r="E955" s="20"/>
      <c r="F955" s="21"/>
      <c r="G955" s="20"/>
    </row>
    <row r="956" spans="1:7" ht="13.2">
      <c r="A956" s="26"/>
      <c r="B956" s="20"/>
      <c r="C956" s="20"/>
      <c r="D956" s="20"/>
      <c r="E956" s="20"/>
      <c r="F956" s="21"/>
      <c r="G956" s="20"/>
    </row>
    <row r="957" spans="1:7" ht="13.2">
      <c r="A957" s="26"/>
      <c r="B957" s="20"/>
      <c r="C957" s="20"/>
      <c r="D957" s="20"/>
      <c r="E957" s="20"/>
      <c r="F957" s="21"/>
      <c r="G957" s="20"/>
    </row>
    <row r="958" spans="1:7" ht="13.2">
      <c r="A958" s="26"/>
      <c r="B958" s="20"/>
      <c r="C958" s="20"/>
      <c r="D958" s="20"/>
      <c r="E958" s="20"/>
      <c r="F958" s="21"/>
      <c r="G958" s="20"/>
    </row>
    <row r="959" spans="1:7" ht="13.2">
      <c r="A959" s="26"/>
      <c r="B959" s="20"/>
      <c r="C959" s="20"/>
      <c r="D959" s="20"/>
      <c r="E959" s="20"/>
      <c r="F959" s="21"/>
      <c r="G959" s="20"/>
    </row>
    <row r="960" spans="1:7" ht="13.2">
      <c r="A960" s="26"/>
      <c r="B960" s="20"/>
      <c r="C960" s="20"/>
      <c r="D960" s="20"/>
      <c r="E960" s="20"/>
      <c r="F960" s="21"/>
      <c r="G960" s="20"/>
    </row>
    <row r="961" spans="1:7" ht="13.2">
      <c r="A961" s="26"/>
      <c r="B961" s="20"/>
      <c r="C961" s="20"/>
      <c r="D961" s="20"/>
      <c r="E961" s="20"/>
      <c r="F961" s="21"/>
      <c r="G961" s="20"/>
    </row>
    <row r="962" spans="1:7" ht="13.2">
      <c r="A962" s="26"/>
      <c r="B962" s="20"/>
      <c r="C962" s="20"/>
      <c r="D962" s="20"/>
      <c r="E962" s="20"/>
      <c r="F962" s="21"/>
      <c r="G962" s="20"/>
    </row>
    <row r="963" spans="1:7" ht="13.2">
      <c r="A963" s="26"/>
      <c r="B963" s="20"/>
      <c r="C963" s="20"/>
      <c r="D963" s="20"/>
      <c r="E963" s="20"/>
      <c r="F963" s="21"/>
      <c r="G963" s="20"/>
    </row>
    <row r="964" spans="1:7" ht="13.2">
      <c r="A964" s="26"/>
      <c r="B964" s="20"/>
      <c r="C964" s="20"/>
      <c r="D964" s="20"/>
      <c r="E964" s="20"/>
      <c r="F964" s="21"/>
      <c r="G964" s="20"/>
    </row>
    <row r="965" spans="1:7" ht="13.2">
      <c r="A965" s="26"/>
      <c r="B965" s="20"/>
      <c r="C965" s="20"/>
      <c r="D965" s="20"/>
      <c r="E965" s="20"/>
      <c r="F965" s="21"/>
      <c r="G965" s="20"/>
    </row>
    <row r="966" spans="1:7" ht="13.2">
      <c r="A966" s="26"/>
      <c r="B966" s="20"/>
      <c r="C966" s="20"/>
      <c r="D966" s="20"/>
      <c r="E966" s="20"/>
      <c r="F966" s="21"/>
      <c r="G966" s="20"/>
    </row>
    <row r="967" spans="1:7" ht="13.2">
      <c r="A967" s="26"/>
      <c r="B967" s="20"/>
      <c r="C967" s="20"/>
      <c r="D967" s="20"/>
      <c r="E967" s="20"/>
      <c r="F967" s="21"/>
      <c r="G967" s="20"/>
    </row>
    <row r="968" spans="1:7" ht="13.2">
      <c r="A968" s="26"/>
      <c r="B968" s="20"/>
      <c r="C968" s="20"/>
      <c r="D968" s="20"/>
      <c r="E968" s="20"/>
      <c r="F968" s="21"/>
      <c r="G968" s="20"/>
    </row>
    <row r="969" spans="1:7" ht="13.2">
      <c r="A969" s="26"/>
      <c r="B969" s="20"/>
      <c r="C969" s="20"/>
      <c r="D969" s="20"/>
      <c r="E969" s="20"/>
      <c r="F969" s="21"/>
      <c r="G969" s="20"/>
    </row>
    <row r="970" spans="1:7" ht="13.2">
      <c r="A970" s="26"/>
      <c r="B970" s="20"/>
      <c r="C970" s="20"/>
      <c r="D970" s="20"/>
      <c r="E970" s="20"/>
      <c r="F970" s="21"/>
      <c r="G970" s="20"/>
    </row>
    <row r="971" spans="1:7" ht="13.2">
      <c r="A971" s="26"/>
      <c r="B971" s="20"/>
      <c r="C971" s="20"/>
      <c r="D971" s="20"/>
      <c r="E971" s="20"/>
      <c r="F971" s="21"/>
      <c r="G971" s="20"/>
    </row>
    <row r="972" spans="1:7" ht="13.2">
      <c r="A972" s="26"/>
      <c r="B972" s="20"/>
      <c r="C972" s="20"/>
      <c r="D972" s="20"/>
      <c r="E972" s="20"/>
      <c r="F972" s="21"/>
      <c r="G972" s="20"/>
    </row>
    <row r="973" spans="1:7" ht="13.2">
      <c r="A973" s="26"/>
      <c r="B973" s="20"/>
      <c r="C973" s="20"/>
      <c r="D973" s="20"/>
      <c r="E973" s="20"/>
      <c r="F973" s="21"/>
      <c r="G973" s="20"/>
    </row>
    <row r="974" spans="1:7" ht="13.2">
      <c r="A974" s="26"/>
      <c r="B974" s="20"/>
      <c r="C974" s="20"/>
      <c r="D974" s="20"/>
      <c r="E974" s="20"/>
      <c r="F974" s="21"/>
      <c r="G974" s="20"/>
    </row>
    <row r="975" spans="1:7" ht="13.2">
      <c r="A975" s="26"/>
      <c r="B975" s="20"/>
      <c r="C975" s="20"/>
      <c r="D975" s="20"/>
      <c r="E975" s="20"/>
      <c r="F975" s="21"/>
      <c r="G975" s="20"/>
    </row>
    <row r="976" spans="1:7" ht="13.2">
      <c r="A976" s="26"/>
      <c r="B976" s="20"/>
      <c r="C976" s="20"/>
      <c r="D976" s="20"/>
      <c r="E976" s="20"/>
      <c r="F976" s="21"/>
      <c r="G976" s="20"/>
    </row>
    <row r="977" spans="1:7" ht="13.2">
      <c r="A977" s="26"/>
      <c r="B977" s="20"/>
      <c r="C977" s="20"/>
      <c r="D977" s="20"/>
      <c r="E977" s="20"/>
      <c r="F977" s="21"/>
      <c r="G977" s="20"/>
    </row>
    <row r="978" spans="1:7" ht="13.2">
      <c r="A978" s="26"/>
      <c r="B978" s="20"/>
      <c r="C978" s="20"/>
      <c r="D978" s="20"/>
      <c r="E978" s="20"/>
      <c r="F978" s="21"/>
      <c r="G978" s="20"/>
    </row>
    <row r="979" spans="1:7" ht="13.2">
      <c r="A979" s="26"/>
      <c r="B979" s="20"/>
      <c r="C979" s="20"/>
      <c r="D979" s="20"/>
      <c r="E979" s="20"/>
      <c r="F979" s="21"/>
      <c r="G979" s="20"/>
    </row>
    <row r="980" spans="1:7" ht="13.2">
      <c r="A980" s="26"/>
      <c r="B980" s="20"/>
      <c r="C980" s="20"/>
      <c r="D980" s="20"/>
      <c r="E980" s="20"/>
      <c r="F980" s="21"/>
      <c r="G980" s="20"/>
    </row>
    <row r="981" spans="1:7" ht="13.2">
      <c r="A981" s="26"/>
      <c r="B981" s="20"/>
      <c r="C981" s="20"/>
      <c r="D981" s="20"/>
      <c r="E981" s="20"/>
      <c r="F981" s="21"/>
      <c r="G981" s="20"/>
    </row>
    <row r="982" spans="1:7" ht="13.2">
      <c r="A982" s="26"/>
      <c r="B982" s="20"/>
      <c r="C982" s="20"/>
      <c r="D982" s="20"/>
      <c r="E982" s="20"/>
      <c r="F982" s="21"/>
      <c r="G982" s="20"/>
    </row>
    <row r="983" spans="1:7" ht="13.2">
      <c r="A983" s="26"/>
      <c r="B983" s="20"/>
      <c r="C983" s="20"/>
      <c r="D983" s="20"/>
      <c r="E983" s="20"/>
      <c r="F983" s="21"/>
      <c r="G983" s="20"/>
    </row>
    <row r="984" spans="1:7" ht="13.2">
      <c r="A984" s="26"/>
      <c r="B984" s="20"/>
      <c r="C984" s="20"/>
      <c r="D984" s="20"/>
      <c r="E984" s="20"/>
      <c r="F984" s="21"/>
      <c r="G984" s="20"/>
    </row>
    <row r="985" spans="1:7" ht="13.2">
      <c r="A985" s="26"/>
      <c r="B985" s="20"/>
      <c r="C985" s="20"/>
      <c r="D985" s="20"/>
      <c r="E985" s="20"/>
      <c r="F985" s="21"/>
      <c r="G985" s="20"/>
    </row>
    <row r="986" spans="1:7" ht="13.2">
      <c r="A986" s="26"/>
      <c r="B986" s="20"/>
      <c r="C986" s="20"/>
      <c r="D986" s="20"/>
      <c r="E986" s="20"/>
      <c r="F986" s="21"/>
      <c r="G986" s="20"/>
    </row>
    <row r="987" spans="1:7" ht="13.2">
      <c r="A987" s="26"/>
      <c r="B987" s="20"/>
      <c r="C987" s="20"/>
      <c r="D987" s="20"/>
      <c r="E987" s="20"/>
      <c r="F987" s="21"/>
      <c r="G987" s="20"/>
    </row>
    <row r="988" spans="1:7" ht="13.2">
      <c r="A988" s="26"/>
      <c r="B988" s="20"/>
      <c r="C988" s="20"/>
      <c r="D988" s="20"/>
      <c r="E988" s="20"/>
      <c r="F988" s="21"/>
      <c r="G988" s="20"/>
    </row>
    <row r="989" spans="1:7" ht="13.2">
      <c r="A989" s="26"/>
      <c r="B989" s="20"/>
      <c r="C989" s="20"/>
      <c r="D989" s="20"/>
      <c r="E989" s="20"/>
      <c r="F989" s="21"/>
      <c r="G989" s="20"/>
    </row>
    <row r="990" spans="1:7" ht="13.2">
      <c r="A990" s="26"/>
      <c r="B990" s="20"/>
      <c r="C990" s="20"/>
      <c r="D990" s="20"/>
      <c r="E990" s="20"/>
      <c r="F990" s="21"/>
      <c r="G990" s="20"/>
    </row>
    <row r="991" spans="1:7" ht="13.2">
      <c r="A991" s="26"/>
      <c r="B991" s="20"/>
      <c r="C991" s="20"/>
      <c r="D991" s="20"/>
      <c r="E991" s="20"/>
      <c r="F991" s="21"/>
      <c r="G991" s="20"/>
    </row>
    <row r="992" spans="1:7" ht="13.2">
      <c r="A992" s="26"/>
      <c r="B992" s="20"/>
      <c r="C992" s="20"/>
      <c r="D992" s="20"/>
      <c r="E992" s="20"/>
      <c r="F992" s="21"/>
      <c r="G992" s="20"/>
    </row>
    <row r="993" spans="1:7" ht="13.2">
      <c r="A993" s="26"/>
      <c r="B993" s="20"/>
      <c r="C993" s="20"/>
      <c r="D993" s="20"/>
      <c r="E993" s="20"/>
      <c r="F993" s="21"/>
      <c r="G993" s="20"/>
    </row>
    <row r="994" spans="1:7" ht="13.2">
      <c r="A994" s="26"/>
      <c r="B994" s="20"/>
      <c r="C994" s="20"/>
      <c r="D994" s="20"/>
      <c r="E994" s="20"/>
      <c r="F994" s="21"/>
      <c r="G994" s="20"/>
    </row>
    <row r="995" spans="1:7" ht="13.2">
      <c r="A995" s="26"/>
      <c r="B995" s="20"/>
      <c r="C995" s="20"/>
      <c r="D995" s="20"/>
      <c r="E995" s="20"/>
      <c r="F995" s="21"/>
      <c r="G995" s="20"/>
    </row>
    <row r="996" spans="1:7" ht="13.2">
      <c r="A996" s="26"/>
      <c r="B996" s="20"/>
      <c r="C996" s="20"/>
      <c r="D996" s="20"/>
      <c r="E996" s="20"/>
      <c r="F996" s="21"/>
      <c r="G996" s="20"/>
    </row>
    <row r="997" spans="1:7" ht="13.2">
      <c r="A997" s="26"/>
      <c r="B997" s="20"/>
      <c r="C997" s="20"/>
      <c r="D997" s="20"/>
      <c r="E997" s="20"/>
      <c r="F997" s="21"/>
      <c r="G997" s="20"/>
    </row>
    <row r="998" spans="1:7" ht="13.2">
      <c r="A998" s="26"/>
      <c r="B998" s="20"/>
      <c r="C998" s="20"/>
      <c r="D998" s="20"/>
      <c r="E998" s="20"/>
      <c r="F998" s="21"/>
      <c r="G998" s="20"/>
    </row>
    <row r="999" spans="1:7" ht="13.2">
      <c r="A999" s="26"/>
      <c r="B999" s="20"/>
      <c r="C999" s="20"/>
      <c r="D999" s="20"/>
      <c r="E999" s="20"/>
      <c r="F999" s="21"/>
      <c r="G999" s="20"/>
    </row>
  </sheetData>
  <autoFilter ref="A1:G999" xr:uid="{00000000-0009-0000-0000-000001000000}"/>
  <hyperlinks>
    <hyperlink ref="I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I1206"/>
  <sheetViews>
    <sheetView workbookViewId="0"/>
  </sheetViews>
  <sheetFormatPr defaultColWidth="12.6640625" defaultRowHeight="15.75" customHeight="1"/>
  <sheetData>
    <row r="1" spans="1:9" ht="13.2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</row>
    <row r="2" spans="1:9" ht="13.8" hidden="1">
      <c r="A2" s="29" t="s">
        <v>2090</v>
      </c>
      <c r="B2" s="30" t="s">
        <v>2091</v>
      </c>
      <c r="C2" s="30" t="s">
        <v>2092</v>
      </c>
      <c r="D2" s="30" t="s">
        <v>2093</v>
      </c>
      <c r="E2" s="30" t="s">
        <v>2094</v>
      </c>
      <c r="F2" s="30" t="s">
        <v>2094</v>
      </c>
      <c r="G2" s="30">
        <v>68.417000000000002</v>
      </c>
      <c r="I2" s="31" t="s">
        <v>2095</v>
      </c>
    </row>
    <row r="3" spans="1:9" ht="13.8">
      <c r="A3" s="29" t="s">
        <v>7</v>
      </c>
      <c r="B3" s="30" t="s">
        <v>2096</v>
      </c>
      <c r="C3" s="30" t="s">
        <v>2097</v>
      </c>
      <c r="D3" s="30" t="s">
        <v>2098</v>
      </c>
      <c r="E3" s="30" t="s">
        <v>2099</v>
      </c>
      <c r="F3" s="30" t="s">
        <v>2099</v>
      </c>
      <c r="G3" s="30" t="s">
        <v>2100</v>
      </c>
    </row>
    <row r="4" spans="1:9" ht="13.8">
      <c r="A4" s="29" t="s">
        <v>12</v>
      </c>
      <c r="B4" s="30" t="s">
        <v>2101</v>
      </c>
      <c r="C4" s="30" t="s">
        <v>2102</v>
      </c>
      <c r="D4" s="30" t="s">
        <v>2103</v>
      </c>
      <c r="E4" s="30" t="s">
        <v>2104</v>
      </c>
      <c r="F4" s="30" t="s">
        <v>2104</v>
      </c>
      <c r="G4" s="30" t="s">
        <v>2100</v>
      </c>
    </row>
    <row r="5" spans="1:9" ht="13.8">
      <c r="A5" s="29" t="s">
        <v>16</v>
      </c>
      <c r="B5" s="30" t="s">
        <v>2105</v>
      </c>
      <c r="C5" s="30" t="s">
        <v>2106</v>
      </c>
      <c r="D5" s="30" t="s">
        <v>2107</v>
      </c>
      <c r="E5" s="30" t="s">
        <v>2108</v>
      </c>
      <c r="F5" s="30" t="s">
        <v>2108</v>
      </c>
      <c r="G5" s="30" t="s">
        <v>2109</v>
      </c>
    </row>
    <row r="6" spans="1:9" ht="13.8">
      <c r="A6" s="29" t="s">
        <v>20</v>
      </c>
      <c r="B6" s="30" t="s">
        <v>2110</v>
      </c>
      <c r="C6" s="30" t="s">
        <v>2111</v>
      </c>
      <c r="D6" s="30" t="s">
        <v>2112</v>
      </c>
      <c r="E6" s="30" t="s">
        <v>2113</v>
      </c>
      <c r="F6" s="30" t="s">
        <v>2113</v>
      </c>
      <c r="G6" s="30" t="s">
        <v>2114</v>
      </c>
    </row>
    <row r="7" spans="1:9" ht="13.8">
      <c r="A7" s="29" t="s">
        <v>25</v>
      </c>
      <c r="B7" s="30" t="s">
        <v>2115</v>
      </c>
      <c r="C7" s="30" t="s">
        <v>2116</v>
      </c>
      <c r="D7" s="30" t="s">
        <v>2117</v>
      </c>
      <c r="E7" s="30" t="s">
        <v>2118</v>
      </c>
      <c r="F7" s="30" t="s">
        <v>2118</v>
      </c>
      <c r="G7" s="30" t="s">
        <v>2119</v>
      </c>
    </row>
    <row r="8" spans="1:9" ht="13.8">
      <c r="A8" s="29" t="s">
        <v>30</v>
      </c>
      <c r="B8" s="30" t="s">
        <v>2120</v>
      </c>
      <c r="C8" s="30" t="s">
        <v>2121</v>
      </c>
      <c r="D8" s="30" t="s">
        <v>2122</v>
      </c>
      <c r="E8" s="30" t="s">
        <v>2123</v>
      </c>
      <c r="F8" s="30" t="s">
        <v>2123</v>
      </c>
      <c r="G8" s="30" t="s">
        <v>2124</v>
      </c>
    </row>
    <row r="9" spans="1:9" ht="13.8">
      <c r="A9" s="29" t="s">
        <v>35</v>
      </c>
      <c r="B9" s="30" t="s">
        <v>2125</v>
      </c>
      <c r="C9" s="30" t="s">
        <v>2126</v>
      </c>
      <c r="D9" s="30" t="s">
        <v>2127</v>
      </c>
      <c r="E9" s="30" t="s">
        <v>2128</v>
      </c>
      <c r="F9" s="30" t="s">
        <v>2128</v>
      </c>
      <c r="G9" s="30" t="s">
        <v>2129</v>
      </c>
    </row>
    <row r="10" spans="1:9" ht="13.8">
      <c r="A10" s="29" t="s">
        <v>37</v>
      </c>
      <c r="B10" s="30" t="s">
        <v>2130</v>
      </c>
      <c r="C10" s="30" t="s">
        <v>2131</v>
      </c>
      <c r="D10" s="30" t="s">
        <v>2132</v>
      </c>
      <c r="E10" s="30" t="s">
        <v>2133</v>
      </c>
      <c r="F10" s="30" t="s">
        <v>2133</v>
      </c>
      <c r="G10" s="30" t="s">
        <v>2134</v>
      </c>
    </row>
    <row r="11" spans="1:9" ht="13.8">
      <c r="A11" s="29" t="s">
        <v>41</v>
      </c>
      <c r="B11" s="30" t="s">
        <v>2135</v>
      </c>
      <c r="C11" s="30" t="s">
        <v>2136</v>
      </c>
      <c r="D11" s="30" t="s">
        <v>2137</v>
      </c>
      <c r="E11" s="30" t="s">
        <v>2138</v>
      </c>
      <c r="F11" s="30" t="s">
        <v>2138</v>
      </c>
      <c r="G11" s="30" t="s">
        <v>2139</v>
      </c>
    </row>
    <row r="12" spans="1:9" ht="13.8">
      <c r="A12" s="29" t="s">
        <v>46</v>
      </c>
      <c r="B12" s="30" t="s">
        <v>2140</v>
      </c>
      <c r="C12" s="30" t="s">
        <v>2141</v>
      </c>
      <c r="D12" s="30" t="s">
        <v>2142</v>
      </c>
      <c r="E12" s="30" t="s">
        <v>2143</v>
      </c>
      <c r="F12" s="30" t="s">
        <v>2143</v>
      </c>
      <c r="G12" s="30" t="s">
        <v>2144</v>
      </c>
    </row>
    <row r="13" spans="1:9" ht="13.8">
      <c r="A13" s="29" t="s">
        <v>50</v>
      </c>
      <c r="B13" s="30" t="s">
        <v>2145</v>
      </c>
      <c r="C13" s="30" t="s">
        <v>2146</v>
      </c>
      <c r="D13" s="30" t="s">
        <v>2147</v>
      </c>
      <c r="E13" s="30" t="s">
        <v>2148</v>
      </c>
      <c r="F13" s="30" t="s">
        <v>2148</v>
      </c>
      <c r="G13" s="30" t="s">
        <v>2149</v>
      </c>
    </row>
    <row r="14" spans="1:9" ht="13.8">
      <c r="A14" s="29" t="s">
        <v>54</v>
      </c>
      <c r="B14" s="30" t="s">
        <v>2150</v>
      </c>
      <c r="C14" s="30" t="s">
        <v>2151</v>
      </c>
      <c r="D14" s="30" t="s">
        <v>2152</v>
      </c>
      <c r="E14" s="30" t="s">
        <v>2153</v>
      </c>
      <c r="F14" s="30" t="s">
        <v>2153</v>
      </c>
      <c r="G14" s="30" t="s">
        <v>2154</v>
      </c>
    </row>
    <row r="15" spans="1:9" ht="13.8">
      <c r="A15" s="29" t="s">
        <v>59</v>
      </c>
      <c r="B15" s="30" t="s">
        <v>2155</v>
      </c>
      <c r="C15" s="30" t="s">
        <v>2156</v>
      </c>
      <c r="D15" s="30" t="s">
        <v>2157</v>
      </c>
      <c r="E15" s="30" t="s">
        <v>2158</v>
      </c>
      <c r="F15" s="30" t="s">
        <v>2158</v>
      </c>
      <c r="G15" s="30" t="s">
        <v>2159</v>
      </c>
    </row>
    <row r="16" spans="1:9" ht="13.8">
      <c r="A16" s="29" t="s">
        <v>63</v>
      </c>
      <c r="B16" s="30" t="s">
        <v>2160</v>
      </c>
      <c r="C16" s="30" t="s">
        <v>2161</v>
      </c>
      <c r="D16" s="30" t="s">
        <v>2162</v>
      </c>
      <c r="E16" s="30" t="s">
        <v>2163</v>
      </c>
      <c r="F16" s="30" t="s">
        <v>2163</v>
      </c>
      <c r="G16" s="30" t="s">
        <v>2164</v>
      </c>
    </row>
    <row r="17" spans="1:7" ht="13.8">
      <c r="A17" s="29" t="s">
        <v>68</v>
      </c>
      <c r="B17" s="30" t="s">
        <v>2165</v>
      </c>
      <c r="C17" s="30" t="s">
        <v>2166</v>
      </c>
      <c r="D17" s="30" t="s">
        <v>2167</v>
      </c>
      <c r="E17" s="30" t="s">
        <v>2168</v>
      </c>
      <c r="F17" s="30" t="s">
        <v>2168</v>
      </c>
      <c r="G17" s="30" t="s">
        <v>2169</v>
      </c>
    </row>
    <row r="18" spans="1:7" ht="13.8">
      <c r="A18" s="29" t="s">
        <v>73</v>
      </c>
      <c r="B18" s="30" t="s">
        <v>2170</v>
      </c>
      <c r="C18" s="30" t="s">
        <v>2171</v>
      </c>
      <c r="D18" s="30" t="s">
        <v>2172</v>
      </c>
      <c r="E18" s="30" t="s">
        <v>2173</v>
      </c>
      <c r="F18" s="30" t="s">
        <v>2173</v>
      </c>
      <c r="G18" s="30" t="s">
        <v>2174</v>
      </c>
    </row>
    <row r="19" spans="1:7" ht="13.8">
      <c r="A19" s="29" t="s">
        <v>78</v>
      </c>
      <c r="B19" s="30" t="s">
        <v>2175</v>
      </c>
      <c r="C19" s="30" t="s">
        <v>2176</v>
      </c>
      <c r="D19" s="30" t="s">
        <v>2177</v>
      </c>
      <c r="E19" s="30" t="s">
        <v>2178</v>
      </c>
      <c r="F19" s="30" t="s">
        <v>2178</v>
      </c>
      <c r="G19" s="30" t="s">
        <v>2179</v>
      </c>
    </row>
    <row r="20" spans="1:7" ht="13.8">
      <c r="A20" s="29" t="s">
        <v>81</v>
      </c>
      <c r="B20" s="30" t="s">
        <v>2180</v>
      </c>
      <c r="C20" s="30" t="s">
        <v>2181</v>
      </c>
      <c r="D20" s="30" t="s">
        <v>2182</v>
      </c>
      <c r="E20" s="30" t="s">
        <v>2183</v>
      </c>
      <c r="F20" s="30" t="s">
        <v>2183</v>
      </c>
      <c r="G20" s="30" t="s">
        <v>2184</v>
      </c>
    </row>
    <row r="21" spans="1:7" ht="13.8">
      <c r="A21" s="29" t="s">
        <v>86</v>
      </c>
      <c r="B21" s="30" t="s">
        <v>2185</v>
      </c>
      <c r="C21" s="30" t="s">
        <v>2186</v>
      </c>
      <c r="D21" s="30" t="s">
        <v>2187</v>
      </c>
      <c r="E21" s="30" t="s">
        <v>2188</v>
      </c>
      <c r="F21" s="30" t="s">
        <v>2188</v>
      </c>
      <c r="G21" s="30" t="s">
        <v>2189</v>
      </c>
    </row>
    <row r="22" spans="1:7" ht="13.8">
      <c r="A22" s="29" t="s">
        <v>90</v>
      </c>
      <c r="B22" s="30" t="s">
        <v>2190</v>
      </c>
      <c r="C22" s="30" t="s">
        <v>2191</v>
      </c>
      <c r="D22" s="30" t="s">
        <v>2192</v>
      </c>
      <c r="E22" s="30" t="s">
        <v>2193</v>
      </c>
      <c r="F22" s="30" t="s">
        <v>2193</v>
      </c>
      <c r="G22" s="30" t="s">
        <v>2194</v>
      </c>
    </row>
    <row r="23" spans="1:7" ht="13.8">
      <c r="A23" s="29" t="s">
        <v>94</v>
      </c>
      <c r="B23" s="30" t="s">
        <v>2195</v>
      </c>
      <c r="C23" s="30" t="s">
        <v>2196</v>
      </c>
      <c r="D23" s="30" t="s">
        <v>2197</v>
      </c>
      <c r="E23" s="30" t="s">
        <v>2198</v>
      </c>
      <c r="F23" s="30" t="s">
        <v>2198</v>
      </c>
      <c r="G23" s="30" t="s">
        <v>2199</v>
      </c>
    </row>
    <row r="24" spans="1:7" ht="13.8">
      <c r="A24" s="29" t="s">
        <v>98</v>
      </c>
      <c r="B24" s="30" t="s">
        <v>2200</v>
      </c>
      <c r="C24" s="30" t="s">
        <v>2201</v>
      </c>
      <c r="D24" s="30" t="s">
        <v>2202</v>
      </c>
      <c r="E24" s="30" t="s">
        <v>2203</v>
      </c>
      <c r="F24" s="30" t="s">
        <v>2203</v>
      </c>
      <c r="G24" s="30" t="s">
        <v>2204</v>
      </c>
    </row>
    <row r="25" spans="1:7" ht="13.8">
      <c r="A25" s="29" t="s">
        <v>102</v>
      </c>
      <c r="B25" s="30" t="s">
        <v>2131</v>
      </c>
      <c r="C25" s="30" t="s">
        <v>2205</v>
      </c>
      <c r="D25" s="30" t="s">
        <v>2206</v>
      </c>
      <c r="E25" s="30" t="s">
        <v>2207</v>
      </c>
      <c r="F25" s="30" t="s">
        <v>2207</v>
      </c>
      <c r="G25" s="30" t="s">
        <v>2208</v>
      </c>
    </row>
    <row r="26" spans="1:7" ht="13.8">
      <c r="A26" s="29" t="s">
        <v>106</v>
      </c>
      <c r="B26" s="30" t="s">
        <v>2209</v>
      </c>
      <c r="C26" s="30" t="s">
        <v>2210</v>
      </c>
      <c r="D26" s="30" t="s">
        <v>2211</v>
      </c>
      <c r="E26" s="30" t="s">
        <v>2212</v>
      </c>
      <c r="F26" s="30" t="s">
        <v>2212</v>
      </c>
      <c r="G26" s="30" t="s">
        <v>2213</v>
      </c>
    </row>
    <row r="27" spans="1:7" ht="13.8">
      <c r="A27" s="29" t="s">
        <v>111</v>
      </c>
      <c r="B27" s="30" t="s">
        <v>2214</v>
      </c>
      <c r="C27" s="30" t="s">
        <v>2215</v>
      </c>
      <c r="D27" s="30" t="s">
        <v>2216</v>
      </c>
      <c r="E27" s="30" t="s">
        <v>2217</v>
      </c>
      <c r="F27" s="30" t="s">
        <v>2217</v>
      </c>
      <c r="G27" s="30" t="s">
        <v>2218</v>
      </c>
    </row>
    <row r="28" spans="1:7" ht="13.8">
      <c r="A28" s="29" t="s">
        <v>115</v>
      </c>
      <c r="B28" s="30" t="s">
        <v>2219</v>
      </c>
      <c r="C28" s="30" t="s">
        <v>2220</v>
      </c>
      <c r="D28" s="30" t="s">
        <v>2221</v>
      </c>
      <c r="E28" s="30" t="s">
        <v>2222</v>
      </c>
      <c r="F28" s="30" t="s">
        <v>2222</v>
      </c>
      <c r="G28" s="30" t="s">
        <v>2223</v>
      </c>
    </row>
    <row r="29" spans="1:7" ht="13.8">
      <c r="A29" s="29" t="s">
        <v>119</v>
      </c>
      <c r="B29" s="30" t="s">
        <v>2181</v>
      </c>
      <c r="C29" s="30" t="s">
        <v>2224</v>
      </c>
      <c r="D29" s="30" t="s">
        <v>2225</v>
      </c>
      <c r="E29" s="30" t="s">
        <v>2210</v>
      </c>
      <c r="F29" s="30" t="s">
        <v>2210</v>
      </c>
      <c r="G29" s="30" t="s">
        <v>2226</v>
      </c>
    </row>
    <row r="30" spans="1:7" ht="13.8">
      <c r="A30" s="29" t="s">
        <v>123</v>
      </c>
      <c r="B30" s="30" t="s">
        <v>2227</v>
      </c>
      <c r="C30" s="30" t="s">
        <v>2228</v>
      </c>
      <c r="D30" s="30" t="s">
        <v>2229</v>
      </c>
      <c r="E30" s="30" t="s">
        <v>2181</v>
      </c>
      <c r="F30" s="30" t="s">
        <v>2181</v>
      </c>
      <c r="G30" s="30" t="s">
        <v>2230</v>
      </c>
    </row>
    <row r="31" spans="1:7" ht="13.8">
      <c r="A31" s="29" t="s">
        <v>126</v>
      </c>
      <c r="B31" s="30" t="s">
        <v>2231</v>
      </c>
      <c r="C31" s="30" t="s">
        <v>2232</v>
      </c>
      <c r="D31" s="30" t="s">
        <v>2233</v>
      </c>
      <c r="E31" s="30" t="s">
        <v>2234</v>
      </c>
      <c r="F31" s="30" t="s">
        <v>2234</v>
      </c>
      <c r="G31" s="30" t="s">
        <v>2235</v>
      </c>
    </row>
    <row r="32" spans="1:7" ht="13.8">
      <c r="A32" s="29" t="s">
        <v>131</v>
      </c>
      <c r="B32" s="30" t="s">
        <v>2236</v>
      </c>
      <c r="C32" s="30" t="s">
        <v>2237</v>
      </c>
      <c r="D32" s="30" t="s">
        <v>2238</v>
      </c>
      <c r="E32" s="30" t="s">
        <v>2239</v>
      </c>
      <c r="F32" s="30" t="s">
        <v>2239</v>
      </c>
      <c r="G32" s="30">
        <v>980.13900000000001</v>
      </c>
    </row>
    <row r="33" spans="1:7" ht="13.8">
      <c r="A33" s="29" t="s">
        <v>135</v>
      </c>
      <c r="B33" s="30" t="s">
        <v>2240</v>
      </c>
      <c r="C33" s="30" t="s">
        <v>2241</v>
      </c>
      <c r="D33" s="30" t="s">
        <v>2242</v>
      </c>
      <c r="E33" s="30" t="s">
        <v>2243</v>
      </c>
      <c r="F33" s="30" t="s">
        <v>2243</v>
      </c>
      <c r="G33" s="30" t="s">
        <v>2244</v>
      </c>
    </row>
    <row r="34" spans="1:7" ht="13.8">
      <c r="A34" s="29" t="s">
        <v>139</v>
      </c>
      <c r="B34" s="30" t="s">
        <v>2245</v>
      </c>
      <c r="C34" s="30" t="s">
        <v>2246</v>
      </c>
      <c r="D34" s="30" t="s">
        <v>2247</v>
      </c>
      <c r="E34" s="30" t="s">
        <v>2248</v>
      </c>
      <c r="F34" s="30" t="s">
        <v>2248</v>
      </c>
      <c r="G34" s="30" t="s">
        <v>2249</v>
      </c>
    </row>
    <row r="35" spans="1:7" ht="13.8">
      <c r="A35" s="29" t="s">
        <v>144</v>
      </c>
      <c r="B35" s="30" t="s">
        <v>2138</v>
      </c>
      <c r="C35" s="30" t="s">
        <v>2250</v>
      </c>
      <c r="D35" s="30" t="s">
        <v>2126</v>
      </c>
      <c r="E35" s="30" t="s">
        <v>2251</v>
      </c>
      <c r="F35" s="30" t="s">
        <v>2251</v>
      </c>
      <c r="G35" s="30" t="s">
        <v>2252</v>
      </c>
    </row>
    <row r="36" spans="1:7" ht="13.8">
      <c r="A36" s="29" t="s">
        <v>149</v>
      </c>
      <c r="B36" s="30" t="s">
        <v>2253</v>
      </c>
      <c r="C36" s="30" t="s">
        <v>2254</v>
      </c>
      <c r="D36" s="30" t="s">
        <v>2255</v>
      </c>
      <c r="E36" s="30" t="s">
        <v>2256</v>
      </c>
      <c r="F36" s="30" t="s">
        <v>2256</v>
      </c>
      <c r="G36" s="30" t="s">
        <v>2257</v>
      </c>
    </row>
    <row r="37" spans="1:7" ht="13.8">
      <c r="A37" s="29" t="s">
        <v>154</v>
      </c>
      <c r="B37" s="30" t="s">
        <v>2258</v>
      </c>
      <c r="C37" s="30" t="s">
        <v>2259</v>
      </c>
      <c r="D37" s="30" t="s">
        <v>2260</v>
      </c>
      <c r="E37" s="30" t="s">
        <v>2261</v>
      </c>
      <c r="F37" s="30" t="s">
        <v>2261</v>
      </c>
      <c r="G37" s="30" t="s">
        <v>2262</v>
      </c>
    </row>
    <row r="38" spans="1:7" ht="13.8">
      <c r="A38" s="29" t="s">
        <v>159</v>
      </c>
      <c r="B38" s="30" t="s">
        <v>2263</v>
      </c>
      <c r="C38" s="30" t="s">
        <v>2264</v>
      </c>
      <c r="D38" s="30" t="s">
        <v>2188</v>
      </c>
      <c r="E38" s="30" t="s">
        <v>2265</v>
      </c>
      <c r="F38" s="30" t="s">
        <v>2265</v>
      </c>
      <c r="G38" s="30" t="s">
        <v>2266</v>
      </c>
    </row>
    <row r="39" spans="1:7" ht="13.8">
      <c r="A39" s="29" t="s">
        <v>164</v>
      </c>
      <c r="B39" s="30" t="s">
        <v>2267</v>
      </c>
      <c r="C39" s="30" t="s">
        <v>2220</v>
      </c>
      <c r="D39" s="30" t="s">
        <v>2268</v>
      </c>
      <c r="E39" s="30" t="s">
        <v>2269</v>
      </c>
      <c r="F39" s="30" t="s">
        <v>2269</v>
      </c>
      <c r="G39" s="30" t="s">
        <v>2270</v>
      </c>
    </row>
    <row r="40" spans="1:7" ht="13.8">
      <c r="A40" s="29" t="s">
        <v>168</v>
      </c>
      <c r="B40" s="30" t="s">
        <v>2271</v>
      </c>
      <c r="C40" s="30" t="s">
        <v>2222</v>
      </c>
      <c r="D40" s="30" t="s">
        <v>2158</v>
      </c>
      <c r="E40" s="30" t="s">
        <v>2272</v>
      </c>
      <c r="F40" s="30" t="s">
        <v>2272</v>
      </c>
      <c r="G40" s="30" t="s">
        <v>2273</v>
      </c>
    </row>
    <row r="41" spans="1:7" ht="13.8">
      <c r="A41" s="29" t="s">
        <v>172</v>
      </c>
      <c r="B41" s="30" t="s">
        <v>2274</v>
      </c>
      <c r="C41" s="30" t="s">
        <v>2275</v>
      </c>
      <c r="D41" s="30" t="s">
        <v>2265</v>
      </c>
      <c r="E41" s="30" t="s">
        <v>2276</v>
      </c>
      <c r="F41" s="30" t="s">
        <v>2276</v>
      </c>
      <c r="G41" s="30" t="s">
        <v>2277</v>
      </c>
    </row>
    <row r="42" spans="1:7" ht="13.8">
      <c r="A42" s="29" t="s">
        <v>177</v>
      </c>
      <c r="B42" s="30" t="s">
        <v>2264</v>
      </c>
      <c r="C42" s="30" t="s">
        <v>2278</v>
      </c>
      <c r="D42" s="30" t="s">
        <v>2279</v>
      </c>
      <c r="E42" s="30" t="s">
        <v>2280</v>
      </c>
      <c r="F42" s="30" t="s">
        <v>2280</v>
      </c>
      <c r="G42" s="30" t="s">
        <v>2281</v>
      </c>
    </row>
    <row r="43" spans="1:7" ht="13.8">
      <c r="A43" s="29" t="s">
        <v>181</v>
      </c>
      <c r="B43" s="30" t="s">
        <v>2282</v>
      </c>
      <c r="C43" s="30" t="s">
        <v>2283</v>
      </c>
      <c r="D43" s="30" t="s">
        <v>2284</v>
      </c>
      <c r="E43" s="30" t="s">
        <v>2285</v>
      </c>
      <c r="F43" s="30" t="s">
        <v>2285</v>
      </c>
      <c r="G43" s="30" t="s">
        <v>2286</v>
      </c>
    </row>
    <row r="44" spans="1:7" ht="13.8">
      <c r="A44" s="29" t="s">
        <v>186</v>
      </c>
      <c r="B44" s="30" t="s">
        <v>2287</v>
      </c>
      <c r="C44" s="30" t="s">
        <v>2288</v>
      </c>
      <c r="D44" s="30" t="s">
        <v>2205</v>
      </c>
      <c r="E44" s="30" t="s">
        <v>2289</v>
      </c>
      <c r="F44" s="30" t="s">
        <v>2289</v>
      </c>
      <c r="G44" s="30" t="s">
        <v>2290</v>
      </c>
    </row>
    <row r="45" spans="1:7" ht="13.8">
      <c r="A45" s="29" t="s">
        <v>189</v>
      </c>
      <c r="B45" s="30" t="s">
        <v>2291</v>
      </c>
      <c r="C45" s="30" t="s">
        <v>2292</v>
      </c>
      <c r="D45" s="30" t="s">
        <v>2293</v>
      </c>
      <c r="E45" s="30" t="s">
        <v>2294</v>
      </c>
      <c r="F45" s="30" t="s">
        <v>2294</v>
      </c>
      <c r="G45" s="30" t="s">
        <v>2295</v>
      </c>
    </row>
    <row r="46" spans="1:7" ht="13.8">
      <c r="A46" s="29" t="s">
        <v>193</v>
      </c>
      <c r="B46" s="30" t="s">
        <v>2296</v>
      </c>
      <c r="C46" s="30" t="s">
        <v>2297</v>
      </c>
      <c r="D46" s="30" t="s">
        <v>2187</v>
      </c>
      <c r="E46" s="30" t="s">
        <v>2298</v>
      </c>
      <c r="F46" s="30" t="s">
        <v>2298</v>
      </c>
      <c r="G46" s="30" t="s">
        <v>2299</v>
      </c>
    </row>
    <row r="47" spans="1:7" ht="13.8">
      <c r="A47" s="29" t="s">
        <v>196</v>
      </c>
      <c r="B47" s="30" t="s">
        <v>2300</v>
      </c>
      <c r="C47" s="30" t="s">
        <v>2301</v>
      </c>
      <c r="D47" s="30" t="s">
        <v>2302</v>
      </c>
      <c r="E47" s="30" t="s">
        <v>2303</v>
      </c>
      <c r="F47" s="30" t="s">
        <v>2303</v>
      </c>
      <c r="G47" s="30" t="s">
        <v>2304</v>
      </c>
    </row>
    <row r="48" spans="1:7" ht="13.8">
      <c r="A48" s="29" t="s">
        <v>199</v>
      </c>
      <c r="B48" s="30" t="s">
        <v>2305</v>
      </c>
      <c r="C48" s="30" t="s">
        <v>2306</v>
      </c>
      <c r="D48" s="30" t="s">
        <v>2307</v>
      </c>
      <c r="E48" s="30" t="s">
        <v>2308</v>
      </c>
      <c r="F48" s="30" t="s">
        <v>2308</v>
      </c>
      <c r="G48" s="30" t="s">
        <v>2309</v>
      </c>
    </row>
    <row r="49" spans="1:7" ht="13.8">
      <c r="A49" s="29" t="s">
        <v>203</v>
      </c>
      <c r="B49" s="30" t="s">
        <v>2296</v>
      </c>
      <c r="C49" s="30" t="s">
        <v>2310</v>
      </c>
      <c r="D49" s="30" t="s">
        <v>2311</v>
      </c>
      <c r="E49" s="30" t="s">
        <v>2312</v>
      </c>
      <c r="F49" s="30" t="s">
        <v>2312</v>
      </c>
      <c r="G49" s="30">
        <v>990.17899999999997</v>
      </c>
    </row>
    <row r="50" spans="1:7" ht="13.8">
      <c r="A50" s="29" t="s">
        <v>208</v>
      </c>
      <c r="B50" s="30" t="s">
        <v>2313</v>
      </c>
      <c r="C50" s="30" t="s">
        <v>2193</v>
      </c>
      <c r="D50" s="30" t="s">
        <v>2314</v>
      </c>
      <c r="E50" s="30" t="s">
        <v>2315</v>
      </c>
      <c r="F50" s="30" t="s">
        <v>2315</v>
      </c>
      <c r="G50" s="30">
        <v>773.65499999999997</v>
      </c>
    </row>
    <row r="51" spans="1:7" ht="13.8">
      <c r="A51" s="29" t="s">
        <v>211</v>
      </c>
      <c r="B51" s="30" t="s">
        <v>2316</v>
      </c>
      <c r="C51" s="30" t="s">
        <v>2317</v>
      </c>
      <c r="D51" s="30" t="s">
        <v>2318</v>
      </c>
      <c r="E51" s="30" t="s">
        <v>2319</v>
      </c>
      <c r="F51" s="30" t="s">
        <v>2319</v>
      </c>
      <c r="G51" s="30">
        <v>882.73900000000003</v>
      </c>
    </row>
    <row r="52" spans="1:7" ht="13.8">
      <c r="A52" s="29" t="s">
        <v>215</v>
      </c>
      <c r="B52" s="30" t="s">
        <v>2320</v>
      </c>
      <c r="C52" s="30" t="s">
        <v>2321</v>
      </c>
      <c r="D52" s="30" t="s">
        <v>2250</v>
      </c>
      <c r="E52" s="30" t="s">
        <v>2322</v>
      </c>
      <c r="F52" s="30" t="s">
        <v>2322</v>
      </c>
      <c r="G52" s="30">
        <v>636.54399999999998</v>
      </c>
    </row>
    <row r="53" spans="1:7" ht="13.8">
      <c r="A53" s="29" t="s">
        <v>217</v>
      </c>
      <c r="B53" s="30" t="s">
        <v>2323</v>
      </c>
      <c r="C53" s="30" t="s">
        <v>2324</v>
      </c>
      <c r="D53" s="30" t="s">
        <v>2325</v>
      </c>
      <c r="E53" s="30" t="s">
        <v>2326</v>
      </c>
      <c r="F53" s="30" t="s">
        <v>2326</v>
      </c>
      <c r="G53" s="30">
        <v>457.05500000000001</v>
      </c>
    </row>
    <row r="54" spans="1:7" ht="13.8">
      <c r="A54" s="29" t="s">
        <v>221</v>
      </c>
      <c r="B54" s="30" t="s">
        <v>2327</v>
      </c>
      <c r="C54" s="30" t="s">
        <v>2328</v>
      </c>
      <c r="D54" s="30" t="s">
        <v>2329</v>
      </c>
      <c r="E54" s="30" t="s">
        <v>2330</v>
      </c>
      <c r="F54" s="30" t="s">
        <v>2330</v>
      </c>
      <c r="G54" s="30">
        <v>874.601</v>
      </c>
    </row>
    <row r="55" spans="1:7" ht="13.8">
      <c r="A55" s="29" t="s">
        <v>225</v>
      </c>
      <c r="B55" s="30" t="s">
        <v>2212</v>
      </c>
      <c r="C55" s="30" t="s">
        <v>2331</v>
      </c>
      <c r="D55" s="30" t="s">
        <v>2308</v>
      </c>
      <c r="E55" s="30" t="s">
        <v>2151</v>
      </c>
      <c r="F55" s="30" t="s">
        <v>2151</v>
      </c>
      <c r="G55" s="30">
        <v>989.30799999999999</v>
      </c>
    </row>
    <row r="56" spans="1:7" ht="13.2" hidden="1"/>
    <row r="57" spans="1:7" ht="13.2" hidden="1"/>
    <row r="58" spans="1:7" ht="13.2" hidden="1"/>
    <row r="59" spans="1:7" ht="13.2" hidden="1"/>
    <row r="60" spans="1:7" ht="13.2" hidden="1"/>
    <row r="61" spans="1:7" ht="13.2" hidden="1"/>
    <row r="62" spans="1:7" ht="13.2" hidden="1"/>
    <row r="63" spans="1:7" ht="13.2" hidden="1"/>
    <row r="64" spans="1:7" ht="13.2" hidden="1"/>
    <row r="65" ht="13.2" hidden="1"/>
    <row r="66" ht="13.2" hidden="1"/>
    <row r="67" ht="13.2" hidden="1"/>
    <row r="68" ht="13.2" hidden="1"/>
    <row r="69" ht="13.2" hidden="1"/>
    <row r="70" ht="13.2" hidden="1"/>
    <row r="71" ht="13.2" hidden="1"/>
    <row r="72" ht="13.2" hidden="1"/>
    <row r="73" ht="13.2" hidden="1"/>
    <row r="74" ht="13.2" hidden="1"/>
    <row r="75" ht="13.2" hidden="1"/>
    <row r="76" ht="13.2" hidden="1"/>
    <row r="77" ht="13.2" hidden="1"/>
    <row r="78" ht="13.2" hidden="1"/>
    <row r="79" ht="13.2" hidden="1"/>
    <row r="80" ht="13.2" hidden="1"/>
    <row r="81" ht="13.2" hidden="1"/>
    <row r="82" ht="13.2" hidden="1"/>
    <row r="83" ht="13.2" hidden="1"/>
    <row r="84" ht="13.2" hidden="1"/>
    <row r="85" ht="13.2" hidden="1"/>
    <row r="86" ht="13.2" hidden="1"/>
    <row r="87" ht="13.2" hidden="1"/>
    <row r="88" ht="13.2" hidden="1"/>
    <row r="89" ht="13.2" hidden="1"/>
    <row r="90" ht="13.2" hidden="1"/>
    <row r="91" ht="13.2" hidden="1"/>
    <row r="92" ht="13.2" hidden="1"/>
    <row r="93" ht="13.2" hidden="1"/>
    <row r="94" ht="13.2" hidden="1"/>
    <row r="95" ht="13.2" hidden="1"/>
    <row r="96" ht="13.2" hidden="1"/>
    <row r="97" ht="13.2" hidden="1"/>
    <row r="98" ht="13.2" hidden="1"/>
    <row r="99" ht="13.2" hidden="1"/>
    <row r="100" ht="13.2" hidden="1"/>
    <row r="101" ht="13.2" hidden="1"/>
    <row r="102" ht="13.2" hidden="1"/>
    <row r="103" ht="13.2" hidden="1"/>
    <row r="104" ht="13.2" hidden="1"/>
    <row r="105" ht="13.2" hidden="1"/>
    <row r="106" ht="13.2" hidden="1"/>
    <row r="107" ht="13.2" hidden="1"/>
    <row r="108" ht="13.2" hidden="1"/>
    <row r="109" ht="13.2" hidden="1"/>
    <row r="110" ht="13.2" hidden="1"/>
    <row r="111" ht="13.2" hidden="1"/>
    <row r="112" ht="13.2" hidden="1"/>
    <row r="113" ht="13.2" hidden="1"/>
    <row r="114" ht="13.2" hidden="1"/>
    <row r="115" ht="13.2" hidden="1"/>
    <row r="116" ht="13.2" hidden="1"/>
    <row r="117" ht="13.2" hidden="1"/>
    <row r="118" ht="13.2" hidden="1"/>
    <row r="119" ht="13.2" hidden="1"/>
    <row r="120" ht="13.2" hidden="1"/>
    <row r="121" ht="13.2" hidden="1"/>
    <row r="122" ht="13.2" hidden="1"/>
    <row r="123" ht="13.2" hidden="1"/>
    <row r="124" ht="13.2" hidden="1"/>
    <row r="125" ht="13.2" hidden="1"/>
    <row r="126" ht="13.2" hidden="1"/>
    <row r="127" ht="13.2" hidden="1"/>
    <row r="128" ht="13.2" hidden="1"/>
    <row r="129" ht="13.2" hidden="1"/>
    <row r="130" ht="13.2" hidden="1"/>
    <row r="131" ht="13.2" hidden="1"/>
    <row r="132" ht="13.2" hidden="1"/>
    <row r="133" ht="13.2" hidden="1"/>
    <row r="134" ht="13.2" hidden="1"/>
    <row r="135" ht="13.2" hidden="1"/>
    <row r="136" ht="13.2" hidden="1"/>
    <row r="137" ht="13.2" hidden="1"/>
    <row r="138" ht="13.2" hidden="1"/>
    <row r="139" ht="13.2" hidden="1"/>
    <row r="140" ht="13.2" hidden="1"/>
    <row r="141" ht="13.2" hidden="1"/>
    <row r="142" ht="13.2" hidden="1"/>
    <row r="143" ht="13.2" hidden="1"/>
    <row r="144" ht="13.2" hidden="1"/>
    <row r="145" ht="13.2" hidden="1"/>
    <row r="146" ht="13.2" hidden="1"/>
    <row r="147" ht="13.2" hidden="1"/>
    <row r="148" ht="13.2" hidden="1"/>
    <row r="149" ht="13.2" hidden="1"/>
    <row r="150" ht="13.2" hidden="1"/>
    <row r="151" ht="13.2" hidden="1"/>
    <row r="152" ht="13.2" hidden="1"/>
    <row r="153" ht="13.2" hidden="1"/>
    <row r="154" ht="13.2" hidden="1"/>
    <row r="155" ht="13.2" hidden="1"/>
    <row r="156" ht="13.2" hidden="1"/>
    <row r="157" ht="13.2" hidden="1"/>
    <row r="158" ht="13.2" hidden="1"/>
    <row r="159" ht="13.2" hidden="1"/>
    <row r="160" ht="13.2" hidden="1"/>
    <row r="161" ht="13.2" hidden="1"/>
    <row r="162" ht="13.2" hidden="1"/>
    <row r="163" ht="13.2" hidden="1"/>
    <row r="164" ht="13.2" hidden="1"/>
    <row r="165" ht="13.2" hidden="1"/>
    <row r="166" ht="13.2" hidden="1"/>
    <row r="167" ht="13.2" hidden="1"/>
    <row r="168" ht="13.2" hidden="1"/>
    <row r="169" ht="13.2" hidden="1"/>
    <row r="170" ht="13.2" hidden="1"/>
    <row r="171" ht="13.2" hidden="1"/>
    <row r="172" ht="13.2" hidden="1"/>
    <row r="173" ht="13.2" hidden="1"/>
    <row r="174" ht="13.2" hidden="1"/>
    <row r="175" ht="13.2" hidden="1"/>
    <row r="176" ht="13.2" hidden="1"/>
    <row r="177" ht="13.2" hidden="1"/>
    <row r="178" ht="13.2" hidden="1"/>
    <row r="179" ht="13.2" hidden="1"/>
    <row r="180" ht="13.2" hidden="1"/>
    <row r="181" ht="13.2" hidden="1"/>
    <row r="182" ht="13.2" hidden="1"/>
    <row r="183" ht="13.2" hidden="1"/>
    <row r="184" ht="13.2" hidden="1"/>
    <row r="185" ht="13.2" hidden="1"/>
    <row r="186" ht="13.2" hidden="1"/>
    <row r="187" ht="13.2" hidden="1"/>
    <row r="188" ht="13.2" hidden="1"/>
    <row r="189" ht="13.2" hidden="1"/>
    <row r="190" ht="13.2" hidden="1"/>
    <row r="191" ht="13.2" hidden="1"/>
    <row r="192" ht="13.2" hidden="1"/>
    <row r="193" ht="13.2" hidden="1"/>
    <row r="194" ht="13.2" hidden="1"/>
    <row r="195" ht="13.2" hidden="1"/>
    <row r="196" ht="13.2" hidden="1"/>
    <row r="197" ht="13.2" hidden="1"/>
    <row r="198" ht="13.2" hidden="1"/>
    <row r="199" ht="13.2" hidden="1"/>
    <row r="200" ht="13.2" hidden="1"/>
    <row r="201" ht="13.2" hidden="1"/>
    <row r="202" ht="13.2" hidden="1"/>
    <row r="203" ht="13.2" hidden="1"/>
    <row r="204" ht="13.2" hidden="1"/>
    <row r="205" ht="13.2" hidden="1"/>
    <row r="206" ht="13.2" hidden="1"/>
    <row r="207" ht="13.2" hidden="1"/>
    <row r="208" ht="13.2" hidden="1"/>
    <row r="209" ht="13.2" hidden="1"/>
    <row r="210" ht="13.2" hidden="1"/>
    <row r="211" ht="13.2" hidden="1"/>
    <row r="212" ht="13.2" hidden="1"/>
    <row r="213" ht="13.2" hidden="1"/>
    <row r="214" ht="13.2" hidden="1"/>
    <row r="215" ht="13.2" hidden="1"/>
    <row r="216" ht="13.2" hidden="1"/>
    <row r="217" ht="13.2" hidden="1"/>
    <row r="218" ht="13.2" hidden="1"/>
    <row r="219" ht="13.2" hidden="1"/>
    <row r="220" ht="13.2" hidden="1"/>
    <row r="221" ht="13.2" hidden="1"/>
    <row r="222" ht="13.2" hidden="1"/>
    <row r="223" ht="13.2" hidden="1"/>
    <row r="224" ht="13.2" hidden="1"/>
    <row r="225" ht="13.2" hidden="1"/>
    <row r="226" ht="13.2" hidden="1"/>
    <row r="227" ht="13.2" hidden="1"/>
    <row r="228" ht="13.2" hidden="1"/>
    <row r="229" ht="13.2" hidden="1"/>
    <row r="230" ht="13.2" hidden="1"/>
    <row r="231" ht="13.2" hidden="1"/>
    <row r="232" ht="13.2" hidden="1"/>
    <row r="233" ht="13.2" hidden="1"/>
    <row r="234" ht="13.2" hidden="1"/>
    <row r="235" ht="13.2" hidden="1"/>
    <row r="236" ht="13.2" hidden="1"/>
    <row r="237" ht="13.2" hidden="1"/>
    <row r="238" ht="13.2" hidden="1"/>
    <row r="239" ht="13.2" hidden="1"/>
    <row r="240" ht="13.2" hidden="1"/>
    <row r="241" ht="13.2" hidden="1"/>
    <row r="242" ht="13.2" hidden="1"/>
    <row r="243" ht="13.2" hidden="1"/>
    <row r="244" ht="13.2" hidden="1"/>
    <row r="245" ht="13.2" hidden="1"/>
    <row r="246" ht="13.2" hidden="1"/>
    <row r="247" ht="13.2" hidden="1"/>
    <row r="248" ht="13.2" hidden="1"/>
    <row r="249" ht="13.2" hidden="1"/>
    <row r="250" ht="13.2" hidden="1"/>
    <row r="251" ht="13.2" hidden="1"/>
    <row r="252" ht="13.2" hidden="1"/>
    <row r="253" ht="13.2" hidden="1"/>
    <row r="254" ht="13.2" hidden="1"/>
    <row r="255" ht="13.2" hidden="1"/>
    <row r="256" ht="13.2" hidden="1"/>
    <row r="257" ht="13.2" hidden="1"/>
    <row r="258" ht="13.2" hidden="1"/>
    <row r="259" ht="13.2" hidden="1"/>
    <row r="260" ht="13.2" hidden="1"/>
    <row r="261" ht="13.2" hidden="1"/>
    <row r="262" ht="13.2" hidden="1"/>
    <row r="263" ht="13.2" hidden="1"/>
    <row r="264" ht="13.2" hidden="1"/>
    <row r="265" ht="13.2" hidden="1"/>
    <row r="266" ht="13.2" hidden="1"/>
    <row r="267" ht="13.2" hidden="1"/>
    <row r="268" ht="13.2" hidden="1"/>
    <row r="269" ht="13.2" hidden="1"/>
    <row r="270" ht="13.2" hidden="1"/>
    <row r="271" ht="13.2" hidden="1"/>
    <row r="272" ht="13.2" hidden="1"/>
    <row r="273" ht="13.2" hidden="1"/>
    <row r="274" ht="13.2" hidden="1"/>
    <row r="275" ht="13.2" hidden="1"/>
    <row r="276" ht="13.2" hidden="1"/>
    <row r="277" ht="13.2" hidden="1"/>
    <row r="278" ht="13.2" hidden="1"/>
    <row r="279" ht="13.2" hidden="1"/>
    <row r="280" ht="13.2" hidden="1"/>
    <row r="281" ht="13.2" hidden="1"/>
    <row r="282" ht="13.2" hidden="1"/>
    <row r="283" ht="13.2" hidden="1"/>
    <row r="284" ht="13.2" hidden="1"/>
    <row r="285" ht="13.2" hidden="1"/>
    <row r="286" ht="13.2" hidden="1"/>
    <row r="287" ht="13.2" hidden="1"/>
    <row r="288" ht="13.2" hidden="1"/>
    <row r="289" ht="13.2" hidden="1"/>
    <row r="290" ht="13.2" hidden="1"/>
    <row r="291" ht="13.2" hidden="1"/>
    <row r="292" ht="13.2" hidden="1"/>
    <row r="293" ht="13.2" hidden="1"/>
    <row r="294" ht="13.2" hidden="1"/>
    <row r="295" ht="13.2" hidden="1"/>
    <row r="296" ht="13.2" hidden="1"/>
    <row r="297" ht="13.2" hidden="1"/>
    <row r="298" ht="13.2" hidden="1"/>
    <row r="299" ht="13.2" hidden="1"/>
    <row r="300" ht="13.2" hidden="1"/>
    <row r="301" ht="13.2" hidden="1"/>
    <row r="302" ht="13.2" hidden="1"/>
    <row r="303" ht="13.2" hidden="1"/>
    <row r="304" ht="13.2" hidden="1"/>
    <row r="305" ht="13.2" hidden="1"/>
    <row r="306" ht="13.2" hidden="1"/>
    <row r="307" ht="13.2" hidden="1"/>
    <row r="308" ht="13.2" hidden="1"/>
    <row r="309" ht="13.2" hidden="1"/>
    <row r="310" ht="13.2" hidden="1"/>
    <row r="311" ht="13.2" hidden="1"/>
    <row r="312" ht="13.2" hidden="1"/>
    <row r="313" ht="13.2" hidden="1"/>
    <row r="314" ht="13.2" hidden="1"/>
    <row r="315" ht="13.2" hidden="1"/>
    <row r="316" ht="13.2" hidden="1"/>
    <row r="317" ht="13.2" hidden="1"/>
    <row r="318" ht="13.2" hidden="1"/>
    <row r="319" ht="13.2" hidden="1"/>
    <row r="320" ht="13.2" hidden="1"/>
    <row r="321" ht="13.2" hidden="1"/>
    <row r="322" ht="13.2" hidden="1"/>
    <row r="323" ht="13.2" hidden="1"/>
    <row r="324" ht="13.2" hidden="1"/>
    <row r="325" ht="13.2" hidden="1"/>
    <row r="326" ht="13.2" hidden="1"/>
    <row r="327" ht="13.2" hidden="1"/>
    <row r="328" ht="13.2" hidden="1"/>
    <row r="329" ht="13.2" hidden="1"/>
    <row r="330" ht="13.2" hidden="1"/>
    <row r="331" ht="13.2" hidden="1"/>
    <row r="332" ht="13.2" hidden="1"/>
    <row r="333" ht="13.2" hidden="1"/>
    <row r="334" ht="13.2" hidden="1"/>
    <row r="335" ht="13.2" hidden="1"/>
    <row r="336" ht="13.2" hidden="1"/>
    <row r="337" ht="13.2" hidden="1"/>
    <row r="338" ht="13.2" hidden="1"/>
    <row r="339" ht="13.2" hidden="1"/>
    <row r="340" ht="13.2" hidden="1"/>
    <row r="341" ht="13.2" hidden="1"/>
    <row r="342" ht="13.2" hidden="1"/>
    <row r="343" ht="13.2" hidden="1"/>
    <row r="344" ht="13.2" hidden="1"/>
    <row r="345" ht="13.2" hidden="1"/>
    <row r="346" ht="13.2" hidden="1"/>
    <row r="347" ht="13.2" hidden="1"/>
    <row r="348" ht="13.2" hidden="1"/>
    <row r="349" ht="13.2" hidden="1"/>
    <row r="350" ht="13.2" hidden="1"/>
    <row r="351" ht="13.2" hidden="1"/>
    <row r="352" ht="13.2" hidden="1"/>
    <row r="353" ht="13.2" hidden="1"/>
    <row r="354" ht="13.2" hidden="1"/>
    <row r="355" ht="13.2" hidden="1"/>
    <row r="356" ht="13.2" hidden="1"/>
    <row r="357" ht="13.2" hidden="1"/>
    <row r="358" ht="13.2" hidden="1"/>
    <row r="359" ht="13.2" hidden="1"/>
    <row r="360" ht="13.2" hidden="1"/>
    <row r="361" ht="13.2" hidden="1"/>
    <row r="362" ht="13.2" hidden="1"/>
    <row r="363" ht="13.2" hidden="1"/>
    <row r="364" ht="13.2" hidden="1"/>
    <row r="365" ht="13.2" hidden="1"/>
    <row r="366" ht="13.2" hidden="1"/>
    <row r="367" ht="13.2" hidden="1"/>
    <row r="368" ht="13.2" hidden="1"/>
    <row r="369" ht="13.2" hidden="1"/>
    <row r="370" ht="13.2" hidden="1"/>
    <row r="371" ht="13.2" hidden="1"/>
    <row r="372" ht="13.2" hidden="1"/>
    <row r="373" ht="13.2" hidden="1"/>
    <row r="374" ht="13.2" hidden="1"/>
    <row r="375" ht="13.2" hidden="1"/>
    <row r="376" ht="13.2" hidden="1"/>
    <row r="377" ht="13.2" hidden="1"/>
    <row r="378" ht="13.2" hidden="1"/>
    <row r="379" ht="13.2" hidden="1"/>
    <row r="380" ht="13.2" hidden="1"/>
    <row r="381" ht="13.2" hidden="1"/>
    <row r="382" ht="13.2" hidden="1"/>
    <row r="383" ht="13.2" hidden="1"/>
    <row r="384" ht="13.2" hidden="1"/>
    <row r="385" ht="13.2" hidden="1"/>
    <row r="386" ht="13.2" hidden="1"/>
    <row r="387" ht="13.2" hidden="1"/>
    <row r="388" ht="13.2" hidden="1"/>
    <row r="389" ht="13.2" hidden="1"/>
    <row r="390" ht="13.2" hidden="1"/>
    <row r="391" ht="13.2" hidden="1"/>
    <row r="392" ht="13.2" hidden="1"/>
    <row r="393" ht="13.2" hidden="1"/>
    <row r="394" ht="13.2" hidden="1"/>
    <row r="395" ht="13.2" hidden="1"/>
    <row r="396" ht="13.2" hidden="1"/>
    <row r="397" ht="13.2" hidden="1"/>
    <row r="398" ht="13.2" hidden="1"/>
    <row r="399" ht="13.2" hidden="1"/>
    <row r="400" ht="13.2" hidden="1"/>
    <row r="401" ht="13.2" hidden="1"/>
    <row r="402" ht="13.2" hidden="1"/>
    <row r="403" ht="13.2" hidden="1"/>
    <row r="404" ht="13.2" hidden="1"/>
    <row r="405" ht="13.2" hidden="1"/>
    <row r="406" ht="13.2" hidden="1"/>
    <row r="407" ht="13.2" hidden="1"/>
    <row r="408" ht="13.2" hidden="1"/>
    <row r="409" ht="13.2" hidden="1"/>
    <row r="410" ht="13.2" hidden="1"/>
    <row r="411" ht="13.2" hidden="1"/>
    <row r="412" ht="13.2" hidden="1"/>
    <row r="413" ht="13.2" hidden="1"/>
    <row r="414" ht="13.2" hidden="1"/>
    <row r="415" ht="13.2" hidden="1"/>
    <row r="416" ht="13.2" hidden="1"/>
    <row r="417" ht="13.2" hidden="1"/>
    <row r="418" ht="13.2" hidden="1"/>
    <row r="419" ht="13.2" hidden="1"/>
    <row r="420" ht="13.2" hidden="1"/>
    <row r="421" ht="13.2" hidden="1"/>
    <row r="422" ht="13.2" hidden="1"/>
    <row r="423" ht="13.2" hidden="1"/>
    <row r="424" ht="13.2" hidden="1"/>
    <row r="425" ht="13.2" hidden="1"/>
    <row r="426" ht="13.2" hidden="1"/>
    <row r="427" ht="13.2" hidden="1"/>
    <row r="428" ht="13.2" hidden="1"/>
    <row r="429" ht="13.2" hidden="1"/>
    <row r="430" ht="13.2" hidden="1"/>
    <row r="431" ht="13.2" hidden="1"/>
    <row r="432" ht="13.2" hidden="1"/>
    <row r="433" ht="13.2" hidden="1"/>
    <row r="434" ht="13.2" hidden="1"/>
    <row r="435" ht="13.2" hidden="1"/>
    <row r="436" ht="13.2" hidden="1"/>
    <row r="437" ht="13.2" hidden="1"/>
    <row r="438" ht="13.2" hidden="1"/>
    <row r="439" ht="13.2" hidden="1"/>
    <row r="440" ht="13.2" hidden="1"/>
    <row r="441" ht="13.2" hidden="1"/>
    <row r="442" ht="13.2" hidden="1"/>
    <row r="443" ht="13.2" hidden="1"/>
    <row r="444" ht="13.2" hidden="1"/>
    <row r="445" ht="13.2" hidden="1"/>
    <row r="446" ht="13.2" hidden="1"/>
    <row r="447" ht="13.2" hidden="1"/>
    <row r="448" ht="13.2" hidden="1"/>
    <row r="449" ht="13.2" hidden="1"/>
    <row r="450" ht="13.2" hidden="1"/>
    <row r="451" ht="13.2" hidden="1"/>
    <row r="452" ht="13.2" hidden="1"/>
    <row r="453" ht="13.2" hidden="1"/>
    <row r="454" ht="13.2" hidden="1"/>
    <row r="455" ht="13.2" hidden="1"/>
    <row r="456" ht="13.2" hidden="1"/>
    <row r="457" ht="13.2" hidden="1"/>
    <row r="458" ht="13.2" hidden="1"/>
    <row r="459" ht="13.2" hidden="1"/>
    <row r="460" ht="13.2" hidden="1"/>
    <row r="461" ht="13.2" hidden="1"/>
    <row r="462" ht="13.2" hidden="1"/>
    <row r="463" ht="13.2" hidden="1"/>
    <row r="464" ht="13.2" hidden="1"/>
    <row r="465" ht="13.2" hidden="1"/>
    <row r="466" ht="13.2" hidden="1"/>
    <row r="467" ht="13.2" hidden="1"/>
    <row r="468" ht="13.2" hidden="1"/>
    <row r="469" ht="13.2" hidden="1"/>
    <row r="470" ht="13.2" hidden="1"/>
    <row r="471" ht="13.2" hidden="1"/>
    <row r="472" ht="13.2" hidden="1"/>
    <row r="473" ht="13.2" hidden="1"/>
    <row r="474" ht="13.2" hidden="1"/>
    <row r="475" ht="13.2" hidden="1"/>
    <row r="476" ht="13.2" hidden="1"/>
    <row r="477" ht="13.2" hidden="1"/>
    <row r="478" ht="13.2" hidden="1"/>
    <row r="479" ht="13.2" hidden="1"/>
    <row r="480" ht="13.2" hidden="1"/>
    <row r="481" ht="13.2" hidden="1"/>
    <row r="482" ht="13.2" hidden="1"/>
    <row r="483" ht="13.2" hidden="1"/>
    <row r="484" ht="13.2" hidden="1"/>
    <row r="485" ht="13.2" hidden="1"/>
    <row r="486" ht="13.2" hidden="1"/>
    <row r="487" ht="13.2" hidden="1"/>
    <row r="488" ht="13.2" hidden="1"/>
    <row r="489" ht="13.2" hidden="1"/>
    <row r="490" ht="13.2" hidden="1"/>
    <row r="491" ht="13.2" hidden="1"/>
    <row r="492" ht="13.2" hidden="1"/>
    <row r="493" ht="13.2" hidden="1"/>
    <row r="494" ht="13.2" hidden="1"/>
    <row r="495" ht="13.2" hidden="1"/>
    <row r="496" ht="13.2" hidden="1"/>
    <row r="497" ht="13.2" hidden="1"/>
    <row r="498" ht="13.2" hidden="1"/>
    <row r="499" ht="13.2" hidden="1"/>
    <row r="500" ht="13.2" hidden="1"/>
    <row r="501" ht="13.2" hidden="1"/>
    <row r="502" ht="13.2" hidden="1"/>
    <row r="503" ht="13.2" hidden="1"/>
    <row r="504" ht="13.2" hidden="1"/>
    <row r="505" ht="13.2" hidden="1"/>
    <row r="506" ht="13.2" hidden="1"/>
    <row r="507" ht="13.2" hidden="1"/>
    <row r="508" ht="13.2" hidden="1"/>
    <row r="509" ht="13.2" hidden="1"/>
    <row r="510" ht="13.2" hidden="1"/>
    <row r="511" ht="13.2" hidden="1"/>
    <row r="512" ht="13.2" hidden="1"/>
    <row r="513" ht="13.2" hidden="1"/>
    <row r="514" ht="13.2" hidden="1"/>
    <row r="515" ht="13.2" hidden="1"/>
    <row r="516" ht="13.2" hidden="1"/>
    <row r="517" ht="13.2" hidden="1"/>
    <row r="518" ht="13.2" hidden="1"/>
    <row r="519" ht="13.2" hidden="1"/>
    <row r="520" ht="13.2" hidden="1"/>
    <row r="521" ht="13.2" hidden="1"/>
    <row r="522" ht="13.2" hidden="1"/>
    <row r="523" ht="13.2" hidden="1"/>
    <row r="524" ht="13.2" hidden="1"/>
    <row r="525" ht="13.2" hidden="1"/>
    <row r="526" ht="13.2" hidden="1"/>
    <row r="527" ht="13.2" hidden="1"/>
    <row r="528" ht="13.2" hidden="1"/>
    <row r="529" ht="13.2" hidden="1"/>
    <row r="530" ht="13.2" hidden="1"/>
    <row r="531" ht="13.2" hidden="1"/>
    <row r="532" ht="13.2" hidden="1"/>
    <row r="533" ht="13.2" hidden="1"/>
    <row r="534" ht="13.2" hidden="1"/>
    <row r="535" ht="13.2" hidden="1"/>
    <row r="536" ht="13.2" hidden="1"/>
    <row r="537" ht="13.2" hidden="1"/>
    <row r="538" ht="13.2" hidden="1"/>
    <row r="539" ht="13.2" hidden="1"/>
    <row r="540" ht="13.2" hidden="1"/>
    <row r="541" ht="13.2" hidden="1"/>
    <row r="542" ht="13.2" hidden="1"/>
    <row r="543" ht="13.2" hidden="1"/>
    <row r="544" ht="13.2" hidden="1"/>
    <row r="545" ht="13.2" hidden="1"/>
    <row r="546" ht="13.2" hidden="1"/>
    <row r="547" ht="13.2" hidden="1"/>
    <row r="548" ht="13.2" hidden="1"/>
    <row r="549" ht="13.2" hidden="1"/>
    <row r="550" ht="13.2" hidden="1"/>
    <row r="551" ht="13.2" hidden="1"/>
    <row r="552" ht="13.2" hidden="1"/>
    <row r="553" ht="13.2" hidden="1"/>
    <row r="554" ht="13.2" hidden="1"/>
    <row r="555" ht="13.2" hidden="1"/>
    <row r="556" ht="13.2" hidden="1"/>
    <row r="557" ht="13.2" hidden="1"/>
    <row r="558" ht="13.2" hidden="1"/>
    <row r="559" ht="13.2" hidden="1"/>
    <row r="560" ht="13.2" hidden="1"/>
    <row r="561" ht="13.2" hidden="1"/>
    <row r="562" ht="13.2" hidden="1"/>
    <row r="563" ht="13.2" hidden="1"/>
    <row r="564" ht="13.2" hidden="1"/>
    <row r="565" ht="13.2" hidden="1"/>
    <row r="566" ht="13.2" hidden="1"/>
    <row r="567" ht="13.2" hidden="1"/>
    <row r="568" ht="13.2" hidden="1"/>
    <row r="569" ht="13.2" hidden="1"/>
    <row r="570" ht="13.2" hidden="1"/>
    <row r="571" ht="13.2" hidden="1"/>
    <row r="572" ht="13.2" hidden="1"/>
    <row r="573" ht="13.2" hidden="1"/>
    <row r="574" ht="13.2" hidden="1"/>
    <row r="575" ht="13.2" hidden="1"/>
    <row r="576" ht="13.2" hidden="1"/>
    <row r="577" ht="13.2" hidden="1"/>
    <row r="578" ht="13.2" hidden="1"/>
    <row r="579" ht="13.2" hidden="1"/>
    <row r="580" ht="13.2" hidden="1"/>
    <row r="581" ht="13.2" hidden="1"/>
    <row r="582" ht="13.2" hidden="1"/>
    <row r="583" ht="13.2" hidden="1"/>
    <row r="584" ht="13.2" hidden="1"/>
    <row r="585" ht="13.2" hidden="1"/>
    <row r="586" ht="13.2" hidden="1"/>
    <row r="587" ht="13.2" hidden="1"/>
    <row r="588" ht="13.2" hidden="1"/>
    <row r="589" ht="13.2" hidden="1"/>
    <row r="590" ht="13.2" hidden="1"/>
    <row r="591" ht="13.2" hidden="1"/>
    <row r="592" ht="13.2" hidden="1"/>
    <row r="593" ht="13.2" hidden="1"/>
    <row r="594" ht="13.2" hidden="1"/>
    <row r="595" ht="13.2" hidden="1"/>
    <row r="596" ht="13.2" hidden="1"/>
    <row r="597" ht="13.2" hidden="1"/>
    <row r="598" ht="13.2" hidden="1"/>
    <row r="599" ht="13.2" hidden="1"/>
    <row r="600" ht="13.2" hidden="1"/>
    <row r="601" ht="13.2" hidden="1"/>
    <row r="602" ht="13.2" hidden="1"/>
    <row r="603" ht="13.2" hidden="1"/>
    <row r="604" ht="13.2" hidden="1"/>
    <row r="605" ht="13.2" hidden="1"/>
    <row r="606" ht="13.2" hidden="1"/>
    <row r="607" ht="13.2" hidden="1"/>
    <row r="608" ht="13.2" hidden="1"/>
    <row r="609" ht="13.2" hidden="1"/>
    <row r="610" ht="13.2" hidden="1"/>
    <row r="611" ht="13.2" hidden="1"/>
    <row r="612" ht="13.2" hidden="1"/>
    <row r="613" ht="13.2" hidden="1"/>
    <row r="614" ht="13.2" hidden="1"/>
    <row r="615" ht="13.2" hidden="1"/>
    <row r="616" ht="13.2" hidden="1"/>
    <row r="617" ht="13.2" hidden="1"/>
    <row r="618" ht="13.2" hidden="1"/>
    <row r="619" ht="13.2" hidden="1"/>
    <row r="620" ht="13.2" hidden="1"/>
    <row r="621" ht="13.2" hidden="1"/>
    <row r="622" ht="13.2" hidden="1"/>
    <row r="623" ht="13.2" hidden="1"/>
    <row r="624" ht="13.2" hidden="1"/>
    <row r="625" ht="13.2" hidden="1"/>
    <row r="626" ht="13.2" hidden="1"/>
    <row r="627" ht="13.2" hidden="1"/>
    <row r="628" ht="13.2" hidden="1"/>
    <row r="629" ht="13.2" hidden="1"/>
    <row r="630" ht="13.2" hidden="1"/>
    <row r="631" ht="13.2" hidden="1"/>
    <row r="632" ht="13.2" hidden="1"/>
    <row r="633" ht="13.2" hidden="1"/>
    <row r="634" ht="13.2" hidden="1"/>
    <row r="635" ht="13.2" hidden="1"/>
    <row r="636" ht="13.2" hidden="1"/>
    <row r="637" ht="13.2" hidden="1"/>
    <row r="638" ht="13.2" hidden="1"/>
    <row r="639" ht="13.2" hidden="1"/>
    <row r="640" ht="13.2" hidden="1"/>
    <row r="641" ht="13.2" hidden="1"/>
    <row r="642" ht="13.2" hidden="1"/>
    <row r="643" ht="13.2" hidden="1"/>
    <row r="644" ht="13.2" hidden="1"/>
    <row r="645" ht="13.2" hidden="1"/>
    <row r="646" ht="13.2" hidden="1"/>
    <row r="647" ht="13.2" hidden="1"/>
    <row r="648" ht="13.2" hidden="1"/>
    <row r="649" ht="13.2" hidden="1"/>
    <row r="650" ht="13.2" hidden="1"/>
    <row r="651" ht="13.2" hidden="1"/>
    <row r="652" ht="13.2" hidden="1"/>
    <row r="653" ht="13.2" hidden="1"/>
    <row r="654" ht="13.2" hidden="1"/>
    <row r="655" ht="13.2" hidden="1"/>
    <row r="656" ht="13.2" hidden="1"/>
    <row r="657" ht="13.2" hidden="1"/>
    <row r="658" ht="13.2" hidden="1"/>
    <row r="659" ht="13.2" hidden="1"/>
    <row r="660" ht="13.2" hidden="1"/>
    <row r="661" ht="13.2" hidden="1"/>
    <row r="662" ht="13.2" hidden="1"/>
    <row r="663" ht="13.2" hidden="1"/>
    <row r="664" ht="13.2" hidden="1"/>
    <row r="665" ht="13.2" hidden="1"/>
    <row r="666" ht="13.2" hidden="1"/>
    <row r="667" ht="13.2" hidden="1"/>
    <row r="668" ht="13.2" hidden="1"/>
    <row r="669" ht="13.2" hidden="1"/>
    <row r="670" ht="13.2" hidden="1"/>
    <row r="671" ht="13.2" hidden="1"/>
    <row r="672" ht="13.2" hidden="1"/>
    <row r="673" ht="13.2" hidden="1"/>
    <row r="674" ht="13.2" hidden="1"/>
    <row r="675" ht="13.2" hidden="1"/>
    <row r="676" ht="13.2" hidden="1"/>
    <row r="677" ht="13.2" hidden="1"/>
    <row r="678" ht="13.2" hidden="1"/>
    <row r="679" ht="13.2" hidden="1"/>
    <row r="680" ht="13.2" hidden="1"/>
    <row r="681" ht="13.2" hidden="1"/>
    <row r="682" ht="13.2" hidden="1"/>
    <row r="683" ht="13.2" hidden="1"/>
    <row r="684" ht="13.2" hidden="1"/>
    <row r="685" ht="13.2" hidden="1"/>
    <row r="686" ht="13.2" hidden="1"/>
    <row r="687" ht="13.2" hidden="1"/>
    <row r="688" ht="13.2" hidden="1"/>
    <row r="689" ht="13.2" hidden="1"/>
    <row r="690" ht="13.2" hidden="1"/>
    <row r="691" ht="13.2" hidden="1"/>
    <row r="692" ht="13.2" hidden="1"/>
    <row r="693" ht="13.2" hidden="1"/>
    <row r="694" ht="13.2" hidden="1"/>
    <row r="695" ht="13.2" hidden="1"/>
    <row r="696" ht="13.2" hidden="1"/>
    <row r="697" ht="13.2" hidden="1"/>
    <row r="698" ht="13.2" hidden="1"/>
    <row r="699" ht="13.2" hidden="1"/>
    <row r="700" ht="13.2" hidden="1"/>
    <row r="701" ht="13.2" hidden="1"/>
    <row r="702" ht="13.2" hidden="1"/>
    <row r="703" ht="13.2" hidden="1"/>
    <row r="704" ht="13.2" hidden="1"/>
    <row r="705" ht="13.2" hidden="1"/>
    <row r="706" ht="13.2" hidden="1"/>
    <row r="707" ht="13.2" hidden="1"/>
    <row r="708" ht="13.2" hidden="1"/>
    <row r="709" ht="13.2" hidden="1"/>
    <row r="710" ht="13.2" hidden="1"/>
    <row r="711" ht="13.2" hidden="1"/>
    <row r="712" ht="13.2" hidden="1"/>
    <row r="713" ht="13.2" hidden="1"/>
    <row r="714" ht="13.2" hidden="1"/>
    <row r="715" ht="13.2" hidden="1"/>
    <row r="716" ht="13.2" hidden="1"/>
    <row r="717" ht="13.2" hidden="1"/>
    <row r="718" ht="13.2" hidden="1"/>
    <row r="719" ht="13.2" hidden="1"/>
    <row r="720" ht="13.2" hidden="1"/>
    <row r="721" ht="13.2" hidden="1"/>
    <row r="722" ht="13.2" hidden="1"/>
    <row r="723" ht="13.2" hidden="1"/>
    <row r="724" ht="13.2" hidden="1"/>
    <row r="725" ht="13.2" hidden="1"/>
    <row r="726" ht="13.2" hidden="1"/>
    <row r="727" ht="13.2" hidden="1"/>
    <row r="728" ht="13.2" hidden="1"/>
    <row r="729" ht="13.2" hidden="1"/>
    <row r="730" ht="13.2" hidden="1"/>
    <row r="731" ht="13.2" hidden="1"/>
    <row r="732" ht="13.2" hidden="1"/>
    <row r="733" ht="13.2" hidden="1"/>
    <row r="734" ht="13.2" hidden="1"/>
    <row r="735" ht="13.2" hidden="1"/>
    <row r="736" ht="13.2" hidden="1"/>
    <row r="737" ht="13.2" hidden="1"/>
    <row r="738" ht="13.2" hidden="1"/>
    <row r="739" ht="13.2" hidden="1"/>
    <row r="740" ht="13.2" hidden="1"/>
    <row r="741" ht="13.2" hidden="1"/>
    <row r="742" ht="13.2" hidden="1"/>
    <row r="743" ht="13.2" hidden="1"/>
    <row r="744" ht="13.2" hidden="1"/>
    <row r="745" ht="13.2" hidden="1"/>
    <row r="746" ht="13.2" hidden="1"/>
    <row r="747" ht="13.2" hidden="1"/>
    <row r="748" ht="13.2" hidden="1"/>
    <row r="749" ht="13.2" hidden="1"/>
    <row r="750" ht="13.2" hidden="1"/>
    <row r="751" ht="13.2" hidden="1"/>
    <row r="752" ht="13.2" hidden="1"/>
    <row r="753" ht="13.2" hidden="1"/>
    <row r="754" ht="13.2" hidden="1"/>
    <row r="755" ht="13.2" hidden="1"/>
    <row r="756" ht="13.2" hidden="1"/>
    <row r="757" ht="13.2" hidden="1"/>
    <row r="758" ht="13.2" hidden="1"/>
    <row r="759" ht="13.2" hidden="1"/>
    <row r="760" ht="13.2" hidden="1"/>
    <row r="761" ht="13.2" hidden="1"/>
    <row r="762" ht="13.2" hidden="1"/>
    <row r="763" ht="13.2" hidden="1"/>
    <row r="764" ht="13.2" hidden="1"/>
    <row r="765" ht="13.2" hidden="1"/>
    <row r="766" ht="13.2" hidden="1"/>
    <row r="767" ht="13.2" hidden="1"/>
    <row r="768" ht="13.2" hidden="1"/>
    <row r="769" ht="13.2" hidden="1"/>
    <row r="770" ht="13.2" hidden="1"/>
    <row r="771" ht="13.2" hidden="1"/>
    <row r="772" ht="13.2" hidden="1"/>
    <row r="773" ht="13.2" hidden="1"/>
    <row r="774" ht="13.2" hidden="1"/>
    <row r="775" ht="13.2" hidden="1"/>
    <row r="776" ht="13.2" hidden="1"/>
    <row r="777" ht="13.2" hidden="1"/>
    <row r="778" ht="13.2" hidden="1"/>
    <row r="779" ht="13.2" hidden="1"/>
    <row r="780" ht="13.2" hidden="1"/>
    <row r="781" ht="13.2" hidden="1"/>
    <row r="782" ht="13.2" hidden="1"/>
    <row r="783" ht="13.2" hidden="1"/>
    <row r="784" ht="13.2" hidden="1"/>
    <row r="785" ht="13.2" hidden="1"/>
    <row r="786" ht="13.2" hidden="1"/>
    <row r="787" ht="13.2" hidden="1"/>
    <row r="788" ht="13.2" hidden="1"/>
    <row r="789" ht="13.2" hidden="1"/>
    <row r="790" ht="13.2" hidden="1"/>
    <row r="791" ht="13.2" hidden="1"/>
    <row r="792" ht="13.2" hidden="1"/>
    <row r="793" ht="13.2" hidden="1"/>
    <row r="794" ht="13.2" hidden="1"/>
    <row r="795" ht="13.2" hidden="1"/>
    <row r="796" ht="13.2" hidden="1"/>
    <row r="797" ht="13.2" hidden="1"/>
    <row r="798" ht="13.2" hidden="1"/>
    <row r="799" ht="13.2" hidden="1"/>
    <row r="800" ht="13.2" hidden="1"/>
    <row r="801" ht="13.2" hidden="1"/>
    <row r="802" ht="13.2" hidden="1"/>
    <row r="803" ht="13.2" hidden="1"/>
    <row r="804" ht="13.2" hidden="1"/>
    <row r="805" ht="13.2" hidden="1"/>
    <row r="806" ht="13.2" hidden="1"/>
    <row r="807" ht="13.2" hidden="1"/>
    <row r="808" ht="13.2" hidden="1"/>
    <row r="809" ht="13.2" hidden="1"/>
    <row r="810" ht="13.2" hidden="1"/>
    <row r="811" ht="13.2" hidden="1"/>
    <row r="812" ht="13.2" hidden="1"/>
    <row r="813" ht="13.2" hidden="1"/>
    <row r="814" ht="13.2" hidden="1"/>
    <row r="815" ht="13.2" hidden="1"/>
    <row r="816" ht="13.2" hidden="1"/>
    <row r="817" ht="13.2" hidden="1"/>
    <row r="818" ht="13.2" hidden="1"/>
    <row r="819" ht="13.2" hidden="1"/>
    <row r="820" ht="13.2" hidden="1"/>
    <row r="821" ht="13.2" hidden="1"/>
    <row r="822" ht="13.2" hidden="1"/>
    <row r="823" ht="13.2" hidden="1"/>
    <row r="824" ht="13.2" hidden="1"/>
    <row r="825" ht="13.2" hidden="1"/>
    <row r="826" ht="13.2" hidden="1"/>
    <row r="827" ht="13.2" hidden="1"/>
    <row r="828" ht="13.2" hidden="1"/>
    <row r="829" ht="13.2" hidden="1"/>
    <row r="830" ht="13.2" hidden="1"/>
    <row r="831" ht="13.2" hidden="1"/>
    <row r="832" ht="13.2" hidden="1"/>
    <row r="833" ht="13.2" hidden="1"/>
    <row r="834" ht="13.2" hidden="1"/>
    <row r="835" ht="13.2" hidden="1"/>
    <row r="836" ht="13.2" hidden="1"/>
    <row r="837" ht="13.2" hidden="1"/>
    <row r="838" ht="13.2" hidden="1"/>
    <row r="839" ht="13.2" hidden="1"/>
    <row r="840" ht="13.2" hidden="1"/>
    <row r="841" ht="13.2" hidden="1"/>
    <row r="842" ht="13.2" hidden="1"/>
    <row r="843" ht="13.2" hidden="1"/>
    <row r="844" ht="13.2" hidden="1"/>
    <row r="845" ht="13.2" hidden="1"/>
    <row r="846" ht="13.2" hidden="1"/>
    <row r="847" ht="13.2" hidden="1"/>
    <row r="848" ht="13.2" hidden="1"/>
    <row r="849" ht="13.2" hidden="1"/>
    <row r="850" ht="13.2" hidden="1"/>
    <row r="851" ht="13.2" hidden="1"/>
    <row r="852" ht="13.2" hidden="1"/>
    <row r="853" ht="13.2" hidden="1"/>
    <row r="854" ht="13.2" hidden="1"/>
    <row r="855" ht="13.2" hidden="1"/>
    <row r="856" ht="13.2" hidden="1"/>
    <row r="857" ht="13.2" hidden="1"/>
    <row r="858" ht="13.2" hidden="1"/>
    <row r="859" ht="13.2" hidden="1"/>
    <row r="860" ht="13.2" hidden="1"/>
    <row r="861" ht="13.2" hidden="1"/>
    <row r="862" ht="13.2" hidden="1"/>
    <row r="863" ht="13.2" hidden="1"/>
    <row r="864" ht="13.2" hidden="1"/>
    <row r="865" ht="13.2" hidden="1"/>
    <row r="866" ht="13.2" hidden="1"/>
    <row r="867" ht="13.2" hidden="1"/>
    <row r="868" ht="13.2" hidden="1"/>
    <row r="869" ht="13.2" hidden="1"/>
    <row r="870" ht="13.2" hidden="1"/>
    <row r="871" ht="13.2" hidden="1"/>
    <row r="872" ht="13.2" hidden="1"/>
    <row r="873" ht="13.2" hidden="1"/>
    <row r="874" ht="13.2" hidden="1"/>
    <row r="875" ht="13.2" hidden="1"/>
    <row r="876" ht="13.2" hidden="1"/>
    <row r="877" ht="13.2" hidden="1"/>
    <row r="878" ht="13.2" hidden="1"/>
    <row r="879" ht="13.2" hidden="1"/>
    <row r="880" ht="13.2" hidden="1"/>
    <row r="881" ht="13.2" hidden="1"/>
    <row r="882" ht="13.2" hidden="1"/>
    <row r="883" ht="13.2" hidden="1"/>
    <row r="884" ht="13.2" hidden="1"/>
    <row r="885" ht="13.2" hidden="1"/>
    <row r="886" ht="13.2" hidden="1"/>
    <row r="887" ht="13.2" hidden="1"/>
    <row r="888" ht="13.2" hidden="1"/>
    <row r="889" ht="13.2" hidden="1"/>
    <row r="890" ht="13.2" hidden="1"/>
    <row r="891" ht="13.2" hidden="1"/>
    <row r="892" ht="13.2" hidden="1"/>
    <row r="893" ht="13.2" hidden="1"/>
    <row r="894" ht="13.2" hidden="1"/>
    <row r="895" ht="13.2" hidden="1"/>
    <row r="896" ht="13.2" hidden="1"/>
    <row r="897" ht="13.2" hidden="1"/>
    <row r="898" ht="13.2" hidden="1"/>
    <row r="899" ht="13.2" hidden="1"/>
    <row r="900" ht="13.2" hidden="1"/>
    <row r="901" ht="13.2" hidden="1"/>
    <row r="902" ht="13.2" hidden="1"/>
    <row r="903" ht="13.2" hidden="1"/>
    <row r="904" ht="13.2" hidden="1"/>
    <row r="905" ht="13.2" hidden="1"/>
    <row r="906" ht="13.2" hidden="1"/>
    <row r="907" ht="13.2" hidden="1"/>
    <row r="908" ht="13.2" hidden="1"/>
    <row r="909" ht="13.2" hidden="1"/>
    <row r="910" ht="13.2" hidden="1"/>
    <row r="911" ht="13.2" hidden="1"/>
    <row r="912" ht="13.2" hidden="1"/>
    <row r="913" ht="13.2" hidden="1"/>
    <row r="914" ht="13.2" hidden="1"/>
    <row r="915" ht="13.2" hidden="1"/>
    <row r="916" ht="13.2" hidden="1"/>
    <row r="917" ht="13.2" hidden="1"/>
    <row r="918" ht="13.2" hidden="1"/>
    <row r="919" ht="13.2" hidden="1"/>
    <row r="920" ht="13.2" hidden="1"/>
    <row r="921" ht="13.2" hidden="1"/>
    <row r="922" ht="13.2" hidden="1"/>
    <row r="923" ht="13.2" hidden="1"/>
    <row r="924" ht="13.2" hidden="1"/>
    <row r="925" ht="13.2" hidden="1"/>
    <row r="926" ht="13.2" hidden="1"/>
    <row r="927" ht="13.2" hidden="1"/>
    <row r="928" ht="13.2" hidden="1"/>
    <row r="929" ht="13.2" hidden="1"/>
    <row r="930" ht="13.2" hidden="1"/>
    <row r="931" ht="13.2" hidden="1"/>
    <row r="932" ht="13.2" hidden="1"/>
    <row r="933" ht="13.2" hidden="1"/>
    <row r="934" ht="13.2" hidden="1"/>
    <row r="935" ht="13.2" hidden="1"/>
    <row r="936" ht="13.2" hidden="1"/>
    <row r="937" ht="13.2" hidden="1"/>
    <row r="938" ht="13.2" hidden="1"/>
    <row r="939" ht="13.2" hidden="1"/>
    <row r="940" ht="13.2" hidden="1"/>
    <row r="941" ht="13.2" hidden="1"/>
    <row r="942" ht="13.2" hidden="1"/>
    <row r="943" ht="13.2" hidden="1"/>
    <row r="944" ht="13.2" hidden="1"/>
    <row r="945" ht="13.2" hidden="1"/>
    <row r="946" ht="13.2" hidden="1"/>
    <row r="947" ht="13.2" hidden="1"/>
    <row r="948" ht="13.2" hidden="1"/>
    <row r="949" ht="13.2" hidden="1"/>
    <row r="950" ht="13.2" hidden="1"/>
    <row r="951" ht="13.2" hidden="1"/>
    <row r="952" ht="13.2" hidden="1"/>
    <row r="953" ht="13.2" hidden="1"/>
    <row r="954" ht="13.2" hidden="1"/>
    <row r="955" ht="13.2" hidden="1"/>
    <row r="956" ht="13.2" hidden="1"/>
    <row r="957" ht="13.2" hidden="1"/>
    <row r="958" ht="13.2" hidden="1"/>
    <row r="959" ht="13.2" hidden="1"/>
    <row r="960" ht="13.2" hidden="1"/>
    <row r="961" ht="13.2" hidden="1"/>
    <row r="962" ht="13.2" hidden="1"/>
    <row r="963" ht="13.2" hidden="1"/>
    <row r="964" ht="13.2" hidden="1"/>
    <row r="965" ht="13.2" hidden="1"/>
    <row r="966" ht="13.2" hidden="1"/>
    <row r="967" ht="13.2" hidden="1"/>
    <row r="968" ht="13.2" hidden="1"/>
    <row r="969" ht="13.2" hidden="1"/>
    <row r="970" ht="13.2" hidden="1"/>
    <row r="971" ht="13.2" hidden="1"/>
    <row r="972" ht="13.2" hidden="1"/>
    <row r="973" ht="13.2" hidden="1"/>
    <row r="974" ht="13.2" hidden="1"/>
    <row r="975" ht="13.2" hidden="1"/>
    <row r="976" ht="13.2" hidden="1"/>
    <row r="977" ht="13.2" hidden="1"/>
    <row r="978" ht="13.2" hidden="1"/>
    <row r="979" ht="13.2" hidden="1"/>
    <row r="980" ht="13.2" hidden="1"/>
    <row r="981" ht="13.2" hidden="1"/>
    <row r="982" ht="13.2" hidden="1"/>
    <row r="983" ht="13.2" hidden="1"/>
    <row r="984" ht="13.2" hidden="1"/>
    <row r="985" ht="13.2" hidden="1"/>
    <row r="986" ht="13.2" hidden="1"/>
    <row r="987" ht="13.2" hidden="1"/>
    <row r="988" ht="13.2" hidden="1"/>
    <row r="989" ht="13.2" hidden="1"/>
    <row r="990" ht="13.2" hidden="1"/>
    <row r="991" ht="13.2" hidden="1"/>
    <row r="992" ht="13.2" hidden="1"/>
    <row r="993" spans="1:7" ht="13.2" hidden="1"/>
    <row r="994" spans="1:7" ht="13.2" hidden="1"/>
    <row r="995" spans="1:7" ht="13.2" hidden="1"/>
    <row r="996" spans="1:7" ht="13.2" hidden="1"/>
    <row r="997" spans="1:7" ht="13.2" hidden="1"/>
    <row r="998" spans="1:7" ht="13.2" hidden="1"/>
    <row r="999" spans="1:7" ht="13.2" hidden="1"/>
    <row r="1000" spans="1:7" ht="13.2" hidden="1"/>
    <row r="1001" spans="1:7" ht="13.8">
      <c r="A1001" s="29" t="s">
        <v>230</v>
      </c>
      <c r="B1001" s="30" t="s">
        <v>2332</v>
      </c>
      <c r="C1001" s="30" t="s">
        <v>2333</v>
      </c>
      <c r="D1001" s="30" t="s">
        <v>2334</v>
      </c>
      <c r="E1001" s="30" t="s">
        <v>2335</v>
      </c>
      <c r="F1001" s="30" t="s">
        <v>2335</v>
      </c>
      <c r="G1001" s="30" t="s">
        <v>2336</v>
      </c>
    </row>
    <row r="1002" spans="1:7" ht="13.8">
      <c r="A1002" s="29" t="s">
        <v>235</v>
      </c>
      <c r="B1002" s="30" t="s">
        <v>2337</v>
      </c>
      <c r="C1002" s="30" t="s">
        <v>2102</v>
      </c>
      <c r="D1002" s="30" t="s">
        <v>2338</v>
      </c>
      <c r="E1002" s="30" t="s">
        <v>2339</v>
      </c>
      <c r="F1002" s="30" t="s">
        <v>2339</v>
      </c>
      <c r="G1002" s="30">
        <v>416.39400000000001</v>
      </c>
    </row>
    <row r="1003" spans="1:7" ht="13.8">
      <c r="A1003" s="29" t="s">
        <v>237</v>
      </c>
      <c r="B1003" s="30" t="s">
        <v>2340</v>
      </c>
      <c r="C1003" s="30" t="s">
        <v>2341</v>
      </c>
      <c r="D1003" s="30" t="s">
        <v>2342</v>
      </c>
      <c r="E1003" s="30" t="s">
        <v>2343</v>
      </c>
      <c r="F1003" s="30" t="s">
        <v>2343</v>
      </c>
      <c r="G1003" s="30">
        <v>590.55799999999999</v>
      </c>
    </row>
    <row r="1004" spans="1:7" ht="13.8">
      <c r="A1004" s="29" t="s">
        <v>242</v>
      </c>
      <c r="B1004" s="30" t="s">
        <v>2344</v>
      </c>
      <c r="C1004" s="30" t="s">
        <v>2345</v>
      </c>
      <c r="D1004" s="30" t="s">
        <v>2346</v>
      </c>
      <c r="E1004" s="30" t="s">
        <v>2104</v>
      </c>
      <c r="F1004" s="30" t="s">
        <v>2104</v>
      </c>
      <c r="G1004" s="30" t="s">
        <v>2347</v>
      </c>
    </row>
    <row r="1005" spans="1:7" ht="13.8">
      <c r="A1005" s="29" t="s">
        <v>246</v>
      </c>
      <c r="B1005" s="30" t="s">
        <v>2348</v>
      </c>
      <c r="C1005" s="30" t="s">
        <v>2349</v>
      </c>
      <c r="D1005" s="30" t="s">
        <v>2350</v>
      </c>
      <c r="E1005" s="30" t="s">
        <v>2351</v>
      </c>
      <c r="F1005" s="30" t="s">
        <v>2351</v>
      </c>
      <c r="G1005" s="30" t="s">
        <v>2352</v>
      </c>
    </row>
    <row r="1006" spans="1:7" ht="13.8">
      <c r="A1006" s="29" t="s">
        <v>250</v>
      </c>
      <c r="B1006" s="30" t="s">
        <v>2353</v>
      </c>
      <c r="C1006" s="30" t="s">
        <v>2131</v>
      </c>
      <c r="D1006" s="30" t="s">
        <v>2354</v>
      </c>
      <c r="E1006" s="30" t="s">
        <v>2355</v>
      </c>
      <c r="F1006" s="30" t="s">
        <v>2355</v>
      </c>
      <c r="G1006" s="30" t="s">
        <v>2356</v>
      </c>
    </row>
    <row r="1007" spans="1:7" ht="13.8">
      <c r="A1007" s="29" t="s">
        <v>252</v>
      </c>
      <c r="B1007" s="30" t="s">
        <v>2357</v>
      </c>
      <c r="C1007" s="30" t="s">
        <v>2358</v>
      </c>
      <c r="D1007" s="30" t="s">
        <v>2359</v>
      </c>
      <c r="E1007" s="30" t="s">
        <v>2360</v>
      </c>
      <c r="F1007" s="30" t="s">
        <v>2360</v>
      </c>
      <c r="G1007" s="30" t="s">
        <v>2361</v>
      </c>
    </row>
    <row r="1008" spans="1:7" ht="13.8">
      <c r="A1008" s="29" t="s">
        <v>255</v>
      </c>
      <c r="B1008" s="30" t="s">
        <v>2157</v>
      </c>
      <c r="C1008" s="30" t="s">
        <v>2362</v>
      </c>
      <c r="D1008" s="30" t="s">
        <v>2355</v>
      </c>
      <c r="E1008" s="30" t="s">
        <v>2160</v>
      </c>
      <c r="F1008" s="30" t="s">
        <v>2160</v>
      </c>
      <c r="G1008" s="30" t="s">
        <v>2363</v>
      </c>
    </row>
    <row r="1009" spans="1:7" ht="13.8">
      <c r="A1009" s="29" t="s">
        <v>259</v>
      </c>
      <c r="B1009" s="30" t="s">
        <v>2364</v>
      </c>
      <c r="C1009" s="30" t="s">
        <v>2365</v>
      </c>
      <c r="D1009" s="30" t="s">
        <v>2366</v>
      </c>
      <c r="E1009" s="30" t="s">
        <v>2367</v>
      </c>
      <c r="F1009" s="30" t="s">
        <v>2367</v>
      </c>
      <c r="G1009" s="30" t="s">
        <v>2368</v>
      </c>
    </row>
    <row r="1010" spans="1:7" ht="13.8">
      <c r="A1010" s="29" t="s">
        <v>264</v>
      </c>
      <c r="B1010" s="30" t="s">
        <v>2369</v>
      </c>
      <c r="C1010" s="30" t="s">
        <v>2370</v>
      </c>
      <c r="D1010" s="30" t="s">
        <v>2113</v>
      </c>
      <c r="E1010" s="30" t="s">
        <v>2371</v>
      </c>
      <c r="F1010" s="30" t="s">
        <v>2371</v>
      </c>
      <c r="G1010" s="30" t="s">
        <v>2372</v>
      </c>
    </row>
    <row r="1011" spans="1:7" ht="13.8">
      <c r="A1011" s="29" t="s">
        <v>268</v>
      </c>
      <c r="B1011" s="30" t="s">
        <v>2175</v>
      </c>
      <c r="C1011" s="30" t="s">
        <v>2373</v>
      </c>
      <c r="D1011" s="30" t="s">
        <v>2374</v>
      </c>
      <c r="E1011" s="30" t="s">
        <v>2375</v>
      </c>
      <c r="F1011" s="30" t="s">
        <v>2375</v>
      </c>
      <c r="G1011" s="30" t="s">
        <v>2376</v>
      </c>
    </row>
    <row r="1012" spans="1:7" ht="13.8">
      <c r="A1012" s="29" t="s">
        <v>273</v>
      </c>
      <c r="B1012" s="30" t="s">
        <v>2377</v>
      </c>
      <c r="C1012" s="30" t="s">
        <v>2378</v>
      </c>
      <c r="D1012" s="30" t="s">
        <v>2379</v>
      </c>
      <c r="E1012" s="30" t="s">
        <v>2307</v>
      </c>
      <c r="F1012" s="30" t="s">
        <v>2307</v>
      </c>
      <c r="G1012" s="30" t="s">
        <v>2380</v>
      </c>
    </row>
    <row r="1013" spans="1:7" ht="13.8">
      <c r="A1013" s="29" t="s">
        <v>277</v>
      </c>
      <c r="B1013" s="30" t="s">
        <v>2381</v>
      </c>
      <c r="C1013" s="30" t="s">
        <v>2382</v>
      </c>
      <c r="D1013" s="30" t="s">
        <v>2359</v>
      </c>
      <c r="E1013" s="30" t="s">
        <v>2383</v>
      </c>
      <c r="F1013" s="30" t="s">
        <v>2383</v>
      </c>
      <c r="G1013" s="30" t="s">
        <v>2384</v>
      </c>
    </row>
    <row r="1014" spans="1:7" ht="13.8">
      <c r="A1014" s="29" t="s">
        <v>281</v>
      </c>
      <c r="B1014" s="30" t="s">
        <v>2385</v>
      </c>
      <c r="C1014" s="30" t="s">
        <v>2386</v>
      </c>
      <c r="D1014" s="30" t="s">
        <v>2387</v>
      </c>
      <c r="E1014" s="30" t="s">
        <v>2388</v>
      </c>
      <c r="F1014" s="30" t="s">
        <v>2388</v>
      </c>
      <c r="G1014" s="30" t="s">
        <v>2389</v>
      </c>
    </row>
    <row r="1015" spans="1:7" ht="13.8">
      <c r="A1015" s="29" t="s">
        <v>284</v>
      </c>
      <c r="B1015" s="30" t="s">
        <v>2390</v>
      </c>
      <c r="C1015" s="30" t="s">
        <v>2221</v>
      </c>
      <c r="D1015" s="30" t="s">
        <v>2391</v>
      </c>
      <c r="E1015" s="30" t="s">
        <v>2341</v>
      </c>
      <c r="F1015" s="30" t="s">
        <v>2341</v>
      </c>
      <c r="G1015" s="30" t="s">
        <v>2392</v>
      </c>
    </row>
    <row r="1016" spans="1:7" ht="13.8">
      <c r="A1016" s="29" t="s">
        <v>289</v>
      </c>
      <c r="B1016" s="30" t="s">
        <v>2393</v>
      </c>
      <c r="C1016" s="30" t="s">
        <v>2394</v>
      </c>
      <c r="D1016" s="30" t="s">
        <v>2395</v>
      </c>
      <c r="E1016" s="30" t="s">
        <v>2396</v>
      </c>
      <c r="F1016" s="30" t="s">
        <v>2396</v>
      </c>
      <c r="G1016" s="30">
        <v>460.053</v>
      </c>
    </row>
    <row r="1017" spans="1:7" ht="13.8">
      <c r="A1017" s="29" t="s">
        <v>293</v>
      </c>
      <c r="B1017" s="30" t="s">
        <v>2397</v>
      </c>
      <c r="C1017" s="30" t="s">
        <v>2398</v>
      </c>
      <c r="D1017" s="30" t="s">
        <v>2339</v>
      </c>
      <c r="E1017" s="30" t="s">
        <v>2399</v>
      </c>
      <c r="F1017" s="30" t="s">
        <v>2399</v>
      </c>
      <c r="G1017" s="30" t="s">
        <v>2400</v>
      </c>
    </row>
    <row r="1018" spans="1:7" ht="13.8">
      <c r="A1018" s="29" t="s">
        <v>296</v>
      </c>
      <c r="B1018" s="30" t="s">
        <v>2401</v>
      </c>
      <c r="C1018" s="30" t="s">
        <v>2402</v>
      </c>
      <c r="D1018" s="30" t="s">
        <v>2403</v>
      </c>
      <c r="E1018" s="30" t="s">
        <v>2404</v>
      </c>
      <c r="F1018" s="30" t="s">
        <v>2404</v>
      </c>
      <c r="G1018" s="30" t="s">
        <v>2405</v>
      </c>
    </row>
    <row r="1019" spans="1:7" ht="13.8">
      <c r="A1019" s="29" t="s">
        <v>300</v>
      </c>
      <c r="B1019" s="30" t="s">
        <v>2406</v>
      </c>
      <c r="C1019" s="30" t="s">
        <v>2407</v>
      </c>
      <c r="D1019" s="30" t="s">
        <v>2408</v>
      </c>
      <c r="E1019" s="30" t="s">
        <v>2409</v>
      </c>
      <c r="F1019" s="30" t="s">
        <v>2409</v>
      </c>
      <c r="G1019" s="30" t="s">
        <v>2410</v>
      </c>
    </row>
    <row r="1020" spans="1:7" ht="13.8">
      <c r="A1020" s="29" t="s">
        <v>303</v>
      </c>
      <c r="B1020" s="30" t="s">
        <v>2411</v>
      </c>
      <c r="C1020" s="30" t="s">
        <v>2412</v>
      </c>
      <c r="D1020" s="30" t="s">
        <v>2413</v>
      </c>
      <c r="E1020" s="30" t="s">
        <v>2414</v>
      </c>
      <c r="F1020" s="30" t="s">
        <v>2414</v>
      </c>
      <c r="G1020" s="30" t="s">
        <v>2415</v>
      </c>
    </row>
    <row r="1021" spans="1:7" ht="13.8">
      <c r="A1021" s="29" t="s">
        <v>307</v>
      </c>
      <c r="B1021" s="30" t="s">
        <v>2416</v>
      </c>
      <c r="C1021" s="30" t="s">
        <v>2417</v>
      </c>
      <c r="D1021" s="30" t="s">
        <v>2418</v>
      </c>
      <c r="E1021" s="30" t="s">
        <v>2419</v>
      </c>
      <c r="F1021" s="30" t="s">
        <v>2419</v>
      </c>
      <c r="G1021" s="30" t="s">
        <v>2420</v>
      </c>
    </row>
    <row r="1022" spans="1:7" ht="13.8">
      <c r="A1022" s="29" t="s">
        <v>312</v>
      </c>
      <c r="B1022" s="30" t="s">
        <v>2421</v>
      </c>
      <c r="C1022" s="30" t="s">
        <v>2422</v>
      </c>
      <c r="D1022" s="30" t="s">
        <v>2423</v>
      </c>
      <c r="E1022" s="30" t="s">
        <v>2424</v>
      </c>
      <c r="F1022" s="30" t="s">
        <v>2424</v>
      </c>
      <c r="G1022" s="30" t="s">
        <v>2425</v>
      </c>
    </row>
    <row r="1023" spans="1:7" ht="13.8">
      <c r="A1023" s="29" t="s">
        <v>316</v>
      </c>
      <c r="B1023" s="30" t="s">
        <v>2426</v>
      </c>
      <c r="C1023" s="30" t="s">
        <v>2427</v>
      </c>
      <c r="D1023" s="30" t="s">
        <v>2428</v>
      </c>
      <c r="E1023" s="30" t="s">
        <v>2429</v>
      </c>
      <c r="F1023" s="30" t="s">
        <v>2429</v>
      </c>
      <c r="G1023" s="30" t="s">
        <v>2430</v>
      </c>
    </row>
    <row r="1024" spans="1:7" ht="13.8">
      <c r="A1024" s="29" t="s">
        <v>320</v>
      </c>
      <c r="B1024" s="30" t="s">
        <v>2431</v>
      </c>
      <c r="C1024" s="30" t="s">
        <v>2432</v>
      </c>
      <c r="D1024" s="30" t="s">
        <v>2433</v>
      </c>
      <c r="E1024" s="30" t="s">
        <v>2434</v>
      </c>
      <c r="F1024" s="30" t="s">
        <v>2434</v>
      </c>
      <c r="G1024" s="30" t="s">
        <v>2435</v>
      </c>
    </row>
    <row r="1025" spans="1:7" ht="13.8">
      <c r="A1025" s="29" t="s">
        <v>323</v>
      </c>
      <c r="B1025" s="30" t="s">
        <v>2436</v>
      </c>
      <c r="C1025" s="30" t="s">
        <v>2437</v>
      </c>
      <c r="D1025" s="30" t="s">
        <v>2438</v>
      </c>
      <c r="E1025" s="30" t="s">
        <v>2439</v>
      </c>
      <c r="F1025" s="30" t="s">
        <v>2439</v>
      </c>
      <c r="G1025" s="30" t="s">
        <v>2440</v>
      </c>
    </row>
    <row r="1026" spans="1:7" ht="13.8">
      <c r="A1026" s="29" t="s">
        <v>328</v>
      </c>
      <c r="B1026" s="30" t="s">
        <v>2382</v>
      </c>
      <c r="C1026" s="30" t="s">
        <v>2312</v>
      </c>
      <c r="D1026" s="30" t="s">
        <v>2441</v>
      </c>
      <c r="E1026" s="30" t="s">
        <v>2442</v>
      </c>
      <c r="F1026" s="30" t="s">
        <v>2442</v>
      </c>
      <c r="G1026" s="30" t="s">
        <v>2443</v>
      </c>
    </row>
    <row r="1027" spans="1:7" ht="13.8">
      <c r="A1027" s="29" t="s">
        <v>333</v>
      </c>
      <c r="B1027" s="30" t="s">
        <v>2444</v>
      </c>
      <c r="C1027" s="30" t="s">
        <v>2308</v>
      </c>
      <c r="D1027" s="30" t="s">
        <v>2097</v>
      </c>
      <c r="E1027" s="30" t="s">
        <v>2445</v>
      </c>
      <c r="F1027" s="30" t="s">
        <v>2445</v>
      </c>
      <c r="G1027" s="30" t="s">
        <v>2446</v>
      </c>
    </row>
    <row r="1028" spans="1:7" ht="13.8">
      <c r="A1028" s="29" t="s">
        <v>338</v>
      </c>
      <c r="B1028" s="30" t="s">
        <v>2447</v>
      </c>
      <c r="C1028" s="30" t="s">
        <v>2448</v>
      </c>
      <c r="D1028" s="30" t="s">
        <v>2449</v>
      </c>
      <c r="E1028" s="30" t="s">
        <v>2450</v>
      </c>
      <c r="F1028" s="30" t="s">
        <v>2450</v>
      </c>
      <c r="G1028" s="30" t="s">
        <v>2451</v>
      </c>
    </row>
    <row r="1029" spans="1:7" ht="13.8">
      <c r="A1029" s="29" t="s">
        <v>341</v>
      </c>
      <c r="B1029" s="30" t="s">
        <v>2452</v>
      </c>
      <c r="C1029" s="30" t="s">
        <v>2453</v>
      </c>
      <c r="D1029" s="30" t="s">
        <v>2454</v>
      </c>
      <c r="E1029" s="30" t="s">
        <v>2374</v>
      </c>
      <c r="F1029" s="30" t="s">
        <v>2374</v>
      </c>
      <c r="G1029" s="30" t="s">
        <v>2455</v>
      </c>
    </row>
    <row r="1030" spans="1:7" ht="13.8">
      <c r="A1030" s="29" t="s">
        <v>344</v>
      </c>
      <c r="B1030" s="30" t="s">
        <v>2456</v>
      </c>
      <c r="C1030" s="30" t="s">
        <v>2454</v>
      </c>
      <c r="D1030" s="30" t="s">
        <v>2457</v>
      </c>
      <c r="E1030" s="30" t="s">
        <v>2458</v>
      </c>
      <c r="F1030" s="30" t="s">
        <v>2458</v>
      </c>
      <c r="G1030" s="30" t="s">
        <v>2459</v>
      </c>
    </row>
    <row r="1031" spans="1:7" ht="13.8">
      <c r="A1031" s="29" t="s">
        <v>349</v>
      </c>
      <c r="B1031" s="30" t="s">
        <v>2147</v>
      </c>
      <c r="C1031" s="30" t="s">
        <v>2460</v>
      </c>
      <c r="D1031" s="30" t="s">
        <v>2461</v>
      </c>
      <c r="E1031" s="30" t="s">
        <v>2462</v>
      </c>
      <c r="F1031" s="30" t="s">
        <v>2462</v>
      </c>
      <c r="G1031" s="30" t="s">
        <v>2463</v>
      </c>
    </row>
    <row r="1032" spans="1:7" ht="13.8">
      <c r="A1032" s="29" t="s">
        <v>353</v>
      </c>
      <c r="B1032" s="30" t="s">
        <v>2104</v>
      </c>
      <c r="C1032" s="30" t="s">
        <v>2464</v>
      </c>
      <c r="D1032" s="30" t="s">
        <v>2465</v>
      </c>
      <c r="E1032" s="30" t="s">
        <v>2344</v>
      </c>
      <c r="F1032" s="30" t="s">
        <v>2344</v>
      </c>
      <c r="G1032" s="30" t="s">
        <v>2466</v>
      </c>
    </row>
    <row r="1033" spans="1:7" ht="13.8">
      <c r="A1033" s="29" t="s">
        <v>357</v>
      </c>
      <c r="B1033" s="30" t="s">
        <v>2467</v>
      </c>
      <c r="C1033" s="30" t="s">
        <v>2467</v>
      </c>
      <c r="D1033" s="30" t="s">
        <v>2468</v>
      </c>
      <c r="E1033" s="30" t="s">
        <v>2469</v>
      </c>
      <c r="F1033" s="30" t="s">
        <v>2469</v>
      </c>
      <c r="G1033" s="30" t="s">
        <v>2470</v>
      </c>
    </row>
    <row r="1034" spans="1:7" ht="13.8">
      <c r="A1034" s="29" t="s">
        <v>359</v>
      </c>
      <c r="B1034" s="30" t="s">
        <v>2471</v>
      </c>
      <c r="C1034" s="30" t="s">
        <v>2472</v>
      </c>
      <c r="D1034" s="30" t="s">
        <v>2473</v>
      </c>
      <c r="E1034" s="30" t="s">
        <v>2474</v>
      </c>
      <c r="F1034" s="30" t="s">
        <v>2474</v>
      </c>
      <c r="G1034" s="30" t="s">
        <v>2475</v>
      </c>
    </row>
    <row r="1035" spans="1:7" ht="13.8">
      <c r="A1035" s="29" t="s">
        <v>363</v>
      </c>
      <c r="B1035" s="30" t="s">
        <v>2476</v>
      </c>
      <c r="C1035" s="30" t="s">
        <v>2477</v>
      </c>
      <c r="D1035" s="30" t="s">
        <v>2460</v>
      </c>
      <c r="E1035" s="30" t="s">
        <v>2444</v>
      </c>
      <c r="F1035" s="30" t="s">
        <v>2444</v>
      </c>
      <c r="G1035" s="30" t="s">
        <v>2478</v>
      </c>
    </row>
    <row r="1036" spans="1:7" ht="13.8">
      <c r="A1036" s="29" t="s">
        <v>366</v>
      </c>
      <c r="B1036" s="30" t="s">
        <v>2479</v>
      </c>
      <c r="C1036" s="30" t="s">
        <v>2480</v>
      </c>
      <c r="D1036" s="30" t="s">
        <v>2183</v>
      </c>
      <c r="E1036" s="30" t="s">
        <v>2481</v>
      </c>
      <c r="F1036" s="30" t="s">
        <v>2481</v>
      </c>
      <c r="G1036" s="30" t="s">
        <v>2482</v>
      </c>
    </row>
    <row r="1037" spans="1:7" ht="13.8">
      <c r="A1037" s="29" t="s">
        <v>369</v>
      </c>
      <c r="B1037" s="30" t="s">
        <v>2483</v>
      </c>
      <c r="C1037" s="30" t="s">
        <v>2484</v>
      </c>
      <c r="D1037" s="30" t="s">
        <v>2485</v>
      </c>
      <c r="E1037" s="30" t="s">
        <v>2486</v>
      </c>
      <c r="F1037" s="30" t="s">
        <v>2486</v>
      </c>
      <c r="G1037" s="30" t="s">
        <v>2487</v>
      </c>
    </row>
    <row r="1038" spans="1:7" ht="13.8">
      <c r="A1038" s="29" t="s">
        <v>373</v>
      </c>
      <c r="B1038" s="30" t="s">
        <v>2353</v>
      </c>
      <c r="C1038" s="30" t="s">
        <v>2488</v>
      </c>
      <c r="D1038" s="30" t="s">
        <v>2489</v>
      </c>
      <c r="E1038" s="30" t="s">
        <v>2166</v>
      </c>
      <c r="F1038" s="30" t="s">
        <v>2166</v>
      </c>
      <c r="G1038" s="30" t="s">
        <v>2490</v>
      </c>
    </row>
    <row r="1039" spans="1:7" ht="13.8">
      <c r="A1039" s="29" t="s">
        <v>377</v>
      </c>
      <c r="B1039" s="30" t="s">
        <v>2491</v>
      </c>
      <c r="C1039" s="30" t="s">
        <v>2492</v>
      </c>
      <c r="D1039" s="30" t="s">
        <v>2453</v>
      </c>
      <c r="E1039" s="30" t="s">
        <v>2493</v>
      </c>
      <c r="F1039" s="30" t="s">
        <v>2493</v>
      </c>
      <c r="G1039" s="30" t="s">
        <v>2494</v>
      </c>
    </row>
    <row r="1040" spans="1:7" ht="13.8">
      <c r="A1040" s="29" t="s">
        <v>382</v>
      </c>
      <c r="B1040" s="30" t="s">
        <v>2339</v>
      </c>
      <c r="C1040" s="30" t="s">
        <v>2495</v>
      </c>
      <c r="D1040" s="30" t="s">
        <v>2496</v>
      </c>
      <c r="E1040" s="30" t="s">
        <v>2497</v>
      </c>
      <c r="F1040" s="30" t="s">
        <v>2497</v>
      </c>
      <c r="G1040" s="30" t="s">
        <v>2498</v>
      </c>
    </row>
    <row r="1041" spans="1:7" ht="13.8">
      <c r="A1041" s="29" t="s">
        <v>386</v>
      </c>
      <c r="B1041" s="30" t="s">
        <v>2461</v>
      </c>
      <c r="C1041" s="30" t="s">
        <v>2499</v>
      </c>
      <c r="D1041" s="30" t="s">
        <v>2500</v>
      </c>
      <c r="E1041" s="30" t="s">
        <v>2501</v>
      </c>
      <c r="F1041" s="30" t="s">
        <v>2501</v>
      </c>
      <c r="G1041" s="30" t="s">
        <v>2502</v>
      </c>
    </row>
    <row r="1042" spans="1:7" ht="13.8">
      <c r="A1042" s="29" t="s">
        <v>390</v>
      </c>
      <c r="B1042" s="30" t="s">
        <v>2503</v>
      </c>
      <c r="C1042" s="30" t="s">
        <v>2504</v>
      </c>
      <c r="D1042" s="30" t="s">
        <v>2505</v>
      </c>
      <c r="E1042" s="30" t="s">
        <v>2506</v>
      </c>
      <c r="F1042" s="30" t="s">
        <v>2506</v>
      </c>
      <c r="G1042" s="30" t="s">
        <v>2507</v>
      </c>
    </row>
    <row r="1043" spans="1:7" ht="13.8">
      <c r="A1043" s="29" t="s">
        <v>395</v>
      </c>
      <c r="B1043" s="30" t="s">
        <v>2508</v>
      </c>
      <c r="C1043" s="30" t="s">
        <v>2509</v>
      </c>
      <c r="D1043" s="30" t="s">
        <v>2510</v>
      </c>
      <c r="E1043" s="30" t="s">
        <v>2511</v>
      </c>
      <c r="F1043" s="30" t="s">
        <v>2511</v>
      </c>
      <c r="G1043" s="30" t="s">
        <v>2512</v>
      </c>
    </row>
    <row r="1044" spans="1:7" ht="13.8">
      <c r="A1044" s="29" t="s">
        <v>397</v>
      </c>
      <c r="B1044" s="30" t="s">
        <v>2513</v>
      </c>
      <c r="C1044" s="30" t="s">
        <v>2514</v>
      </c>
      <c r="D1044" s="30" t="s">
        <v>2515</v>
      </c>
      <c r="E1044" s="30" t="s">
        <v>2516</v>
      </c>
      <c r="F1044" s="30" t="s">
        <v>2516</v>
      </c>
      <c r="G1044" s="30" t="s">
        <v>2517</v>
      </c>
    </row>
    <row r="1045" spans="1:7" ht="13.8">
      <c r="A1045" s="29" t="s">
        <v>399</v>
      </c>
      <c r="B1045" s="30" t="s">
        <v>2518</v>
      </c>
      <c r="C1045" s="30" t="s">
        <v>2519</v>
      </c>
      <c r="D1045" s="30" t="s">
        <v>2520</v>
      </c>
      <c r="E1045" s="30" t="s">
        <v>2521</v>
      </c>
      <c r="F1045" s="30" t="s">
        <v>2521</v>
      </c>
      <c r="G1045" s="30" t="s">
        <v>2522</v>
      </c>
    </row>
    <row r="1046" spans="1:7" ht="13.8">
      <c r="A1046" s="29" t="s">
        <v>403</v>
      </c>
      <c r="B1046" s="30" t="s">
        <v>2523</v>
      </c>
      <c r="C1046" s="30" t="s">
        <v>2524</v>
      </c>
      <c r="D1046" s="30" t="s">
        <v>2525</v>
      </c>
      <c r="E1046" s="30" t="s">
        <v>2526</v>
      </c>
      <c r="F1046" s="30" t="s">
        <v>2526</v>
      </c>
      <c r="G1046" s="30" t="s">
        <v>2527</v>
      </c>
    </row>
    <row r="1047" spans="1:7" ht="13.8">
      <c r="A1047" s="29" t="s">
        <v>407</v>
      </c>
      <c r="B1047" s="30" t="s">
        <v>2528</v>
      </c>
      <c r="C1047" s="30" t="s">
        <v>2529</v>
      </c>
      <c r="D1047" s="30" t="s">
        <v>2530</v>
      </c>
      <c r="E1047" s="30" t="s">
        <v>2531</v>
      </c>
      <c r="F1047" s="30" t="s">
        <v>2531</v>
      </c>
      <c r="G1047" s="30" t="s">
        <v>2532</v>
      </c>
    </row>
    <row r="1048" spans="1:7" ht="13.8">
      <c r="A1048" s="29" t="s">
        <v>409</v>
      </c>
      <c r="B1048" s="30" t="s">
        <v>2533</v>
      </c>
      <c r="C1048" s="30" t="s">
        <v>2534</v>
      </c>
      <c r="D1048" s="30" t="s">
        <v>2535</v>
      </c>
      <c r="E1048" s="30" t="s">
        <v>2536</v>
      </c>
      <c r="F1048" s="30" t="s">
        <v>2536</v>
      </c>
      <c r="G1048" s="30" t="s">
        <v>2537</v>
      </c>
    </row>
    <row r="1049" spans="1:7" ht="13.8">
      <c r="A1049" s="29" t="s">
        <v>411</v>
      </c>
      <c r="B1049" s="30" t="s">
        <v>2525</v>
      </c>
      <c r="C1049" s="30" t="s">
        <v>2538</v>
      </c>
      <c r="D1049" s="30" t="s">
        <v>2525</v>
      </c>
      <c r="E1049" s="30" t="s">
        <v>2539</v>
      </c>
      <c r="F1049" s="30" t="s">
        <v>2539</v>
      </c>
      <c r="G1049" s="30" t="s">
        <v>2540</v>
      </c>
    </row>
    <row r="1050" spans="1:7" ht="13.8">
      <c r="A1050" s="29" t="s">
        <v>414</v>
      </c>
      <c r="B1050" s="30" t="s">
        <v>2508</v>
      </c>
      <c r="C1050" s="30" t="s">
        <v>2541</v>
      </c>
      <c r="D1050" s="30" t="s">
        <v>2542</v>
      </c>
      <c r="E1050" s="30" t="s">
        <v>2543</v>
      </c>
      <c r="F1050" s="30" t="s">
        <v>2543</v>
      </c>
      <c r="G1050" s="30" t="s">
        <v>2540</v>
      </c>
    </row>
    <row r="1051" spans="1:7" ht="13.8">
      <c r="A1051" s="29" t="s">
        <v>419</v>
      </c>
      <c r="B1051" s="30" t="s">
        <v>2333</v>
      </c>
      <c r="C1051" s="30" t="s">
        <v>2387</v>
      </c>
      <c r="D1051" s="30" t="s">
        <v>2544</v>
      </c>
      <c r="E1051" s="30" t="s">
        <v>2545</v>
      </c>
      <c r="F1051" s="30" t="s">
        <v>2545</v>
      </c>
      <c r="G1051" s="30" t="s">
        <v>2546</v>
      </c>
    </row>
    <row r="1052" spans="1:7" ht="13.8">
      <c r="A1052" s="29" t="s">
        <v>421</v>
      </c>
      <c r="B1052" s="30" t="s">
        <v>2547</v>
      </c>
      <c r="C1052" s="30" t="s">
        <v>2548</v>
      </c>
      <c r="D1052" s="30" t="s">
        <v>2549</v>
      </c>
      <c r="E1052" s="30" t="s">
        <v>2550</v>
      </c>
      <c r="F1052" s="30" t="s">
        <v>2550</v>
      </c>
      <c r="G1052" s="30" t="s">
        <v>2551</v>
      </c>
    </row>
    <row r="1053" spans="1:7" ht="13.8">
      <c r="A1053" s="29" t="s">
        <v>424</v>
      </c>
      <c r="B1053" s="30" t="s">
        <v>2552</v>
      </c>
      <c r="C1053" s="30" t="s">
        <v>2333</v>
      </c>
      <c r="D1053" s="30" t="s">
        <v>2553</v>
      </c>
      <c r="E1053" s="30" t="s">
        <v>2554</v>
      </c>
      <c r="F1053" s="30" t="s">
        <v>2554</v>
      </c>
      <c r="G1053" s="30" t="s">
        <v>2555</v>
      </c>
    </row>
    <row r="1054" spans="1:7" ht="13.8">
      <c r="A1054" s="29" t="s">
        <v>427</v>
      </c>
      <c r="B1054" s="30" t="s">
        <v>2334</v>
      </c>
      <c r="C1054" s="30" t="s">
        <v>2556</v>
      </c>
      <c r="D1054" s="30" t="s">
        <v>2557</v>
      </c>
      <c r="E1054" s="30" t="s">
        <v>2504</v>
      </c>
      <c r="F1054" s="30" t="s">
        <v>2504</v>
      </c>
      <c r="G1054" s="30" t="s">
        <v>2558</v>
      </c>
    </row>
    <row r="1055" spans="1:7" ht="13.8">
      <c r="A1055" s="29" t="s">
        <v>429</v>
      </c>
      <c r="B1055" s="30" t="s">
        <v>2431</v>
      </c>
      <c r="C1055" s="30" t="s">
        <v>2559</v>
      </c>
      <c r="D1055" s="30" t="s">
        <v>2560</v>
      </c>
      <c r="E1055" s="30" t="s">
        <v>2561</v>
      </c>
      <c r="F1055" s="30" t="s">
        <v>2561</v>
      </c>
      <c r="G1055" s="30" t="s">
        <v>2562</v>
      </c>
    </row>
    <row r="1056" spans="1:7" ht="13.8">
      <c r="A1056" s="29" t="s">
        <v>433</v>
      </c>
      <c r="B1056" s="30" t="s">
        <v>2563</v>
      </c>
      <c r="C1056" s="30" t="s">
        <v>2564</v>
      </c>
      <c r="D1056" s="30" t="s">
        <v>2565</v>
      </c>
      <c r="E1056" s="30" t="s">
        <v>2529</v>
      </c>
      <c r="F1056" s="30" t="s">
        <v>2529</v>
      </c>
      <c r="G1056" s="30" t="s">
        <v>2566</v>
      </c>
    </row>
    <row r="1057" spans="1:7" ht="13.8">
      <c r="A1057" s="29" t="s">
        <v>437</v>
      </c>
      <c r="B1057" s="30" t="s">
        <v>2567</v>
      </c>
      <c r="C1057" s="30" t="s">
        <v>2568</v>
      </c>
      <c r="D1057" s="30" t="s">
        <v>2569</v>
      </c>
      <c r="E1057" s="30" t="s">
        <v>2554</v>
      </c>
      <c r="F1057" s="30" t="s">
        <v>2554</v>
      </c>
      <c r="G1057" s="30" t="s">
        <v>2570</v>
      </c>
    </row>
    <row r="1058" spans="1:7" ht="13.8">
      <c r="A1058" s="29" t="s">
        <v>441</v>
      </c>
      <c r="B1058" s="30" t="s">
        <v>2571</v>
      </c>
      <c r="C1058" s="30" t="s">
        <v>2572</v>
      </c>
      <c r="D1058" s="30" t="s">
        <v>2573</v>
      </c>
      <c r="E1058" s="30" t="s">
        <v>2574</v>
      </c>
      <c r="F1058" s="30" t="s">
        <v>2574</v>
      </c>
      <c r="G1058" s="30" t="s">
        <v>2575</v>
      </c>
    </row>
    <row r="1059" spans="1:7" ht="13.8">
      <c r="A1059" s="29" t="s">
        <v>444</v>
      </c>
      <c r="B1059" s="30" t="s">
        <v>2576</v>
      </c>
      <c r="C1059" s="30" t="s">
        <v>2577</v>
      </c>
      <c r="D1059" s="30" t="s">
        <v>2578</v>
      </c>
      <c r="E1059" s="30" t="s">
        <v>2579</v>
      </c>
      <c r="F1059" s="30" t="s">
        <v>2579</v>
      </c>
      <c r="G1059" s="30" t="s">
        <v>2580</v>
      </c>
    </row>
    <row r="1060" spans="1:7" ht="13.8">
      <c r="A1060" s="29" t="s">
        <v>446</v>
      </c>
      <c r="B1060" s="30" t="s">
        <v>2581</v>
      </c>
      <c r="C1060" s="30" t="s">
        <v>2582</v>
      </c>
      <c r="D1060" s="30" t="s">
        <v>2583</v>
      </c>
      <c r="E1060" s="30" t="s">
        <v>2426</v>
      </c>
      <c r="F1060" s="30" t="s">
        <v>2426</v>
      </c>
      <c r="G1060" s="30" t="s">
        <v>2584</v>
      </c>
    </row>
    <row r="1061" spans="1:7" ht="13.8">
      <c r="A1061" s="29" t="s">
        <v>450</v>
      </c>
      <c r="B1061" s="30" t="s">
        <v>2585</v>
      </c>
      <c r="C1061" s="30" t="s">
        <v>2586</v>
      </c>
      <c r="D1061" s="30" t="s">
        <v>2587</v>
      </c>
      <c r="E1061" s="30" t="s">
        <v>2588</v>
      </c>
      <c r="F1061" s="30" t="s">
        <v>2588</v>
      </c>
      <c r="G1061" s="30" t="s">
        <v>2589</v>
      </c>
    </row>
    <row r="1062" spans="1:7" ht="13.8">
      <c r="A1062" s="29" t="s">
        <v>453</v>
      </c>
      <c r="B1062" s="30" t="s">
        <v>2590</v>
      </c>
      <c r="C1062" s="30" t="s">
        <v>2591</v>
      </c>
      <c r="D1062" s="30" t="s">
        <v>2592</v>
      </c>
      <c r="E1062" s="30" t="s">
        <v>2593</v>
      </c>
      <c r="F1062" s="30" t="s">
        <v>2593</v>
      </c>
      <c r="G1062" s="30" t="s">
        <v>2594</v>
      </c>
    </row>
    <row r="1063" spans="1:7" ht="13.8">
      <c r="A1063" s="29" t="s">
        <v>455</v>
      </c>
      <c r="B1063" s="30" t="s">
        <v>2595</v>
      </c>
      <c r="C1063" s="30" t="s">
        <v>2596</v>
      </c>
      <c r="D1063" s="30" t="s">
        <v>2597</v>
      </c>
      <c r="E1063" s="30" t="s">
        <v>2531</v>
      </c>
      <c r="F1063" s="30" t="s">
        <v>2531</v>
      </c>
      <c r="G1063" s="30" t="s">
        <v>2598</v>
      </c>
    </row>
    <row r="1064" spans="1:7" ht="13.8">
      <c r="A1064" s="29" t="s">
        <v>458</v>
      </c>
      <c r="B1064" s="30" t="s">
        <v>2599</v>
      </c>
      <c r="C1064" s="30" t="s">
        <v>2600</v>
      </c>
      <c r="D1064" s="30" t="s">
        <v>2601</v>
      </c>
      <c r="E1064" s="30" t="s">
        <v>2602</v>
      </c>
      <c r="F1064" s="30" t="s">
        <v>2602</v>
      </c>
      <c r="G1064" s="30" t="s">
        <v>2603</v>
      </c>
    </row>
    <row r="1065" spans="1:7" ht="13.8">
      <c r="A1065" s="29" t="s">
        <v>460</v>
      </c>
      <c r="B1065" s="30" t="s">
        <v>2604</v>
      </c>
      <c r="C1065" s="30" t="s">
        <v>2605</v>
      </c>
      <c r="D1065" s="30" t="s">
        <v>2606</v>
      </c>
      <c r="E1065" s="30" t="s">
        <v>2607</v>
      </c>
      <c r="F1065" s="30" t="s">
        <v>2607</v>
      </c>
      <c r="G1065" s="30" t="s">
        <v>2608</v>
      </c>
    </row>
    <row r="1066" spans="1:7" ht="13.8">
      <c r="A1066" s="29" t="s">
        <v>462</v>
      </c>
      <c r="B1066" s="30" t="s">
        <v>2609</v>
      </c>
      <c r="C1066" s="30" t="s">
        <v>2610</v>
      </c>
      <c r="D1066" s="30" t="s">
        <v>2611</v>
      </c>
      <c r="E1066" s="30" t="s">
        <v>2612</v>
      </c>
      <c r="F1066" s="30" t="s">
        <v>2612</v>
      </c>
      <c r="G1066" s="30">
        <v>339.96699999999998</v>
      </c>
    </row>
    <row r="1067" spans="1:7" ht="13.8">
      <c r="A1067" s="29" t="s">
        <v>465</v>
      </c>
      <c r="B1067" s="30" t="s">
        <v>2613</v>
      </c>
      <c r="C1067" s="30" t="s">
        <v>2614</v>
      </c>
      <c r="D1067" s="30" t="s">
        <v>2615</v>
      </c>
      <c r="E1067" s="30" t="s">
        <v>2616</v>
      </c>
      <c r="F1067" s="30" t="s">
        <v>2616</v>
      </c>
      <c r="G1067" s="30">
        <v>560.84100000000001</v>
      </c>
    </row>
    <row r="1068" spans="1:7" ht="13.8">
      <c r="A1068" s="29" t="s">
        <v>468</v>
      </c>
      <c r="B1068" s="30" t="s">
        <v>2617</v>
      </c>
      <c r="C1068" s="30" t="s">
        <v>2618</v>
      </c>
      <c r="D1068" s="30" t="s">
        <v>2619</v>
      </c>
      <c r="E1068" s="30" t="s">
        <v>2620</v>
      </c>
      <c r="F1068" s="30" t="s">
        <v>2620</v>
      </c>
      <c r="G1068" s="30">
        <v>837.03399999999999</v>
      </c>
    </row>
    <row r="1069" spans="1:7" ht="13.8">
      <c r="A1069" s="29" t="s">
        <v>471</v>
      </c>
      <c r="B1069" s="30" t="s">
        <v>2621</v>
      </c>
      <c r="C1069" s="30" t="s">
        <v>2622</v>
      </c>
      <c r="D1069" s="30" t="s">
        <v>2623</v>
      </c>
      <c r="E1069" s="30" t="s">
        <v>2624</v>
      </c>
      <c r="F1069" s="30" t="s">
        <v>2624</v>
      </c>
      <c r="G1069" s="30" t="s">
        <v>2625</v>
      </c>
    </row>
    <row r="1070" spans="1:7" ht="13.8">
      <c r="A1070" s="29" t="s">
        <v>475</v>
      </c>
      <c r="B1070" s="30" t="s">
        <v>2626</v>
      </c>
      <c r="C1070" s="30" t="s">
        <v>2609</v>
      </c>
      <c r="D1070" s="30" t="s">
        <v>2627</v>
      </c>
      <c r="E1070" s="30" t="s">
        <v>2621</v>
      </c>
      <c r="F1070" s="30" t="s">
        <v>2621</v>
      </c>
      <c r="G1070" s="30" t="s">
        <v>2628</v>
      </c>
    </row>
    <row r="1071" spans="1:7" ht="13.8">
      <c r="A1071" s="29" t="s">
        <v>479</v>
      </c>
      <c r="B1071" s="30" t="s">
        <v>2629</v>
      </c>
      <c r="C1071" s="30" t="s">
        <v>2630</v>
      </c>
      <c r="D1071" s="30" t="s">
        <v>2631</v>
      </c>
      <c r="E1071" s="30" t="s">
        <v>2632</v>
      </c>
      <c r="F1071" s="30" t="s">
        <v>2632</v>
      </c>
      <c r="G1071" s="30" t="s">
        <v>2633</v>
      </c>
    </row>
    <row r="1072" spans="1:7" ht="13.8">
      <c r="A1072" s="29" t="s">
        <v>483</v>
      </c>
      <c r="B1072" s="30" t="s">
        <v>2634</v>
      </c>
      <c r="C1072" s="30" t="s">
        <v>2635</v>
      </c>
      <c r="D1072" s="30" t="s">
        <v>2636</v>
      </c>
      <c r="E1072" s="30" t="s">
        <v>2637</v>
      </c>
      <c r="F1072" s="30" t="s">
        <v>2637</v>
      </c>
      <c r="G1072" s="30" t="s">
        <v>2638</v>
      </c>
    </row>
    <row r="1073" spans="1:7" ht="13.8">
      <c r="A1073" s="29" t="s">
        <v>486</v>
      </c>
      <c r="B1073" s="30" t="s">
        <v>2639</v>
      </c>
      <c r="C1073" s="30" t="s">
        <v>2640</v>
      </c>
      <c r="D1073" s="30" t="s">
        <v>2641</v>
      </c>
      <c r="E1073" s="30" t="s">
        <v>2642</v>
      </c>
      <c r="F1073" s="30" t="s">
        <v>2642</v>
      </c>
      <c r="G1073" s="30" t="s">
        <v>2643</v>
      </c>
    </row>
    <row r="1074" spans="1:7" ht="13.8">
      <c r="A1074" s="29" t="s">
        <v>489</v>
      </c>
      <c r="B1074" s="30" t="s">
        <v>2644</v>
      </c>
      <c r="C1074" s="30" t="s">
        <v>2645</v>
      </c>
      <c r="D1074" s="30" t="s">
        <v>2646</v>
      </c>
      <c r="E1074" s="30" t="s">
        <v>2647</v>
      </c>
      <c r="F1074" s="30" t="s">
        <v>2647</v>
      </c>
      <c r="G1074" s="30" t="s">
        <v>2648</v>
      </c>
    </row>
    <row r="1075" spans="1:7" ht="13.8">
      <c r="A1075" s="29" t="s">
        <v>492</v>
      </c>
      <c r="B1075" s="30" t="s">
        <v>2649</v>
      </c>
      <c r="C1075" s="30" t="s">
        <v>2650</v>
      </c>
      <c r="D1075" s="30" t="s">
        <v>2651</v>
      </c>
      <c r="E1075" s="30" t="s">
        <v>2652</v>
      </c>
      <c r="F1075" s="30" t="s">
        <v>2652</v>
      </c>
      <c r="G1075" s="30" t="s">
        <v>2653</v>
      </c>
    </row>
    <row r="1076" spans="1:7" ht="13.8">
      <c r="A1076" s="29" t="s">
        <v>495</v>
      </c>
      <c r="B1076" s="30" t="s">
        <v>2654</v>
      </c>
      <c r="C1076" s="30" t="s">
        <v>2655</v>
      </c>
      <c r="D1076" s="30" t="s">
        <v>2656</v>
      </c>
      <c r="E1076" s="30" t="s">
        <v>2657</v>
      </c>
      <c r="F1076" s="30" t="s">
        <v>2657</v>
      </c>
      <c r="G1076" s="30" t="s">
        <v>2658</v>
      </c>
    </row>
    <row r="1077" spans="1:7" ht="13.8">
      <c r="A1077" s="29" t="s">
        <v>498</v>
      </c>
      <c r="B1077" s="30" t="s">
        <v>2659</v>
      </c>
      <c r="C1077" s="30" t="s">
        <v>2660</v>
      </c>
      <c r="D1077" s="30" t="s">
        <v>2661</v>
      </c>
      <c r="E1077" s="30" t="s">
        <v>2662</v>
      </c>
      <c r="F1077" s="30" t="s">
        <v>2662</v>
      </c>
      <c r="G1077" s="30" t="s">
        <v>2663</v>
      </c>
    </row>
    <row r="1078" spans="1:7" ht="13.8">
      <c r="A1078" s="29" t="s">
        <v>500</v>
      </c>
      <c r="B1078" s="30" t="s">
        <v>2664</v>
      </c>
      <c r="C1078" s="30" t="s">
        <v>2665</v>
      </c>
      <c r="D1078" s="30" t="s">
        <v>2666</v>
      </c>
      <c r="E1078" s="30" t="s">
        <v>2661</v>
      </c>
      <c r="F1078" s="30" t="s">
        <v>2661</v>
      </c>
      <c r="G1078" s="30" t="s">
        <v>2667</v>
      </c>
    </row>
    <row r="1079" spans="1:7" ht="13.8">
      <c r="A1079" s="29" t="s">
        <v>504</v>
      </c>
      <c r="B1079" s="30" t="s">
        <v>2668</v>
      </c>
      <c r="C1079" s="30" t="s">
        <v>2669</v>
      </c>
      <c r="D1079" s="30" t="s">
        <v>2670</v>
      </c>
      <c r="E1079" s="30" t="s">
        <v>2671</v>
      </c>
      <c r="F1079" s="30" t="s">
        <v>2671</v>
      </c>
      <c r="G1079" s="30" t="s">
        <v>2475</v>
      </c>
    </row>
    <row r="1080" spans="1:7" ht="13.8">
      <c r="A1080" s="29" t="s">
        <v>506</v>
      </c>
      <c r="B1080" s="30" t="s">
        <v>2672</v>
      </c>
      <c r="C1080" s="30" t="s">
        <v>2673</v>
      </c>
      <c r="D1080" s="30" t="s">
        <v>2674</v>
      </c>
      <c r="E1080" s="30" t="s">
        <v>2675</v>
      </c>
      <c r="F1080" s="30" t="s">
        <v>2675</v>
      </c>
      <c r="G1080" s="30" t="s">
        <v>2676</v>
      </c>
    </row>
    <row r="1081" spans="1:7" ht="13.8">
      <c r="A1081" s="29" t="s">
        <v>510</v>
      </c>
      <c r="B1081" s="30" t="s">
        <v>2677</v>
      </c>
      <c r="C1081" s="30" t="s">
        <v>2678</v>
      </c>
      <c r="D1081" s="30" t="s">
        <v>2679</v>
      </c>
      <c r="E1081" s="30" t="s">
        <v>2680</v>
      </c>
      <c r="F1081" s="30" t="s">
        <v>2680</v>
      </c>
      <c r="G1081" s="30">
        <v>957.73</v>
      </c>
    </row>
    <row r="1082" spans="1:7" ht="13.8">
      <c r="A1082" s="29" t="s">
        <v>514</v>
      </c>
      <c r="B1082" s="30" t="s">
        <v>2681</v>
      </c>
      <c r="C1082" s="30" t="s">
        <v>2682</v>
      </c>
      <c r="D1082" s="30" t="s">
        <v>2683</v>
      </c>
      <c r="E1082" s="30" t="s">
        <v>2684</v>
      </c>
      <c r="F1082" s="30" t="s">
        <v>2684</v>
      </c>
      <c r="G1082" s="30" t="s">
        <v>2685</v>
      </c>
    </row>
    <row r="1083" spans="1:7" ht="13.8">
      <c r="A1083" s="29" t="s">
        <v>519</v>
      </c>
      <c r="B1083" s="30" t="s">
        <v>2686</v>
      </c>
      <c r="C1083" s="30" t="s">
        <v>2687</v>
      </c>
      <c r="D1083" s="30" t="s">
        <v>2688</v>
      </c>
      <c r="E1083" s="30" t="s">
        <v>2670</v>
      </c>
      <c r="F1083" s="30" t="s">
        <v>2670</v>
      </c>
      <c r="G1083" s="30">
        <v>932.51499999999999</v>
      </c>
    </row>
    <row r="1084" spans="1:7" ht="13.8">
      <c r="A1084" s="29" t="s">
        <v>523</v>
      </c>
      <c r="B1084" s="30" t="s">
        <v>2689</v>
      </c>
      <c r="C1084" s="30" t="s">
        <v>2690</v>
      </c>
      <c r="D1084" s="30" t="s">
        <v>2691</v>
      </c>
      <c r="E1084" s="30" t="s">
        <v>2692</v>
      </c>
      <c r="F1084" s="30" t="s">
        <v>2692</v>
      </c>
      <c r="G1084" s="30" t="s">
        <v>2693</v>
      </c>
    </row>
    <row r="1085" spans="1:7" ht="13.8">
      <c r="A1085" s="29" t="s">
        <v>528</v>
      </c>
      <c r="B1085" s="30" t="s">
        <v>2694</v>
      </c>
      <c r="C1085" s="30" t="s">
        <v>2695</v>
      </c>
      <c r="D1085" s="30" t="s">
        <v>2696</v>
      </c>
      <c r="E1085" s="30" t="s">
        <v>2697</v>
      </c>
      <c r="F1085" s="30" t="s">
        <v>2697</v>
      </c>
      <c r="G1085" s="30" t="s">
        <v>2698</v>
      </c>
    </row>
    <row r="1086" spans="1:7" ht="13.8">
      <c r="A1086" s="29" t="s">
        <v>533</v>
      </c>
      <c r="B1086" s="30" t="s">
        <v>2699</v>
      </c>
      <c r="C1086" s="30" t="s">
        <v>2700</v>
      </c>
      <c r="D1086" s="30" t="s">
        <v>2701</v>
      </c>
      <c r="E1086" s="30" t="s">
        <v>2702</v>
      </c>
      <c r="F1086" s="30" t="s">
        <v>2702</v>
      </c>
      <c r="G1086" s="30" t="s">
        <v>2703</v>
      </c>
    </row>
    <row r="1087" spans="1:7" ht="13.8">
      <c r="A1087" s="29" t="s">
        <v>538</v>
      </c>
      <c r="B1087" s="30" t="s">
        <v>2704</v>
      </c>
      <c r="C1087" s="30" t="s">
        <v>2705</v>
      </c>
      <c r="D1087" s="30" t="s">
        <v>2706</v>
      </c>
      <c r="E1087" s="30" t="s">
        <v>2707</v>
      </c>
      <c r="F1087" s="30" t="s">
        <v>2707</v>
      </c>
      <c r="G1087" s="30" t="s">
        <v>2708</v>
      </c>
    </row>
    <row r="1088" spans="1:7" ht="13.8">
      <c r="A1088" s="29" t="s">
        <v>543</v>
      </c>
      <c r="B1088" s="30" t="s">
        <v>2709</v>
      </c>
      <c r="C1088" s="30" t="s">
        <v>2710</v>
      </c>
      <c r="D1088" s="30" t="s">
        <v>2711</v>
      </c>
      <c r="E1088" s="30" t="s">
        <v>2712</v>
      </c>
      <c r="F1088" s="30" t="s">
        <v>2712</v>
      </c>
      <c r="G1088" s="30">
        <v>860.45100000000002</v>
      </c>
    </row>
    <row r="1089" spans="1:7" ht="13.8">
      <c r="A1089" s="29" t="s">
        <v>548</v>
      </c>
      <c r="B1089" s="30" t="s">
        <v>2641</v>
      </c>
      <c r="C1089" s="30" t="s">
        <v>2713</v>
      </c>
      <c r="D1089" s="30" t="s">
        <v>2714</v>
      </c>
      <c r="E1089" s="30" t="s">
        <v>2715</v>
      </c>
      <c r="F1089" s="30" t="s">
        <v>2715</v>
      </c>
      <c r="G1089" s="30" t="s">
        <v>2716</v>
      </c>
    </row>
    <row r="1090" spans="1:7" ht="13.8">
      <c r="A1090" s="29" t="s">
        <v>553</v>
      </c>
      <c r="B1090" s="30" t="s">
        <v>2672</v>
      </c>
      <c r="C1090" s="30" t="s">
        <v>2680</v>
      </c>
      <c r="D1090" s="30" t="s">
        <v>2717</v>
      </c>
      <c r="E1090" s="30" t="s">
        <v>2718</v>
      </c>
      <c r="F1090" s="30" t="s">
        <v>2718</v>
      </c>
      <c r="G1090" s="30" t="s">
        <v>2719</v>
      </c>
    </row>
    <row r="1091" spans="1:7" ht="13.8">
      <c r="A1091" s="29" t="s">
        <v>557</v>
      </c>
      <c r="B1091" s="30" t="s">
        <v>2720</v>
      </c>
      <c r="C1091" s="30" t="s">
        <v>2721</v>
      </c>
      <c r="D1091" s="30" t="s">
        <v>2722</v>
      </c>
      <c r="E1091" s="30" t="s">
        <v>2723</v>
      </c>
      <c r="F1091" s="30" t="s">
        <v>2723</v>
      </c>
      <c r="G1091" s="30" t="s">
        <v>2724</v>
      </c>
    </row>
    <row r="1092" spans="1:7" ht="13.8">
      <c r="A1092" s="29" t="s">
        <v>562</v>
      </c>
      <c r="B1092" s="30" t="s">
        <v>2725</v>
      </c>
      <c r="C1092" s="30" t="s">
        <v>2726</v>
      </c>
      <c r="D1092" s="30" t="s">
        <v>2727</v>
      </c>
      <c r="E1092" s="30" t="s">
        <v>2704</v>
      </c>
      <c r="F1092" s="30" t="s">
        <v>2704</v>
      </c>
      <c r="G1092" s="30" t="s">
        <v>2728</v>
      </c>
    </row>
    <row r="1093" spans="1:7" ht="13.8">
      <c r="A1093" s="29" t="s">
        <v>565</v>
      </c>
      <c r="B1093" s="30" t="s">
        <v>2729</v>
      </c>
      <c r="C1093" s="30" t="s">
        <v>2730</v>
      </c>
      <c r="D1093" s="30" t="s">
        <v>2731</v>
      </c>
      <c r="E1093" s="30" t="s">
        <v>2732</v>
      </c>
      <c r="F1093" s="30" t="s">
        <v>2732</v>
      </c>
      <c r="G1093" s="30" t="s">
        <v>2733</v>
      </c>
    </row>
    <row r="1094" spans="1:7" ht="13.8">
      <c r="A1094" s="29" t="s">
        <v>569</v>
      </c>
      <c r="B1094" s="30" t="s">
        <v>2734</v>
      </c>
      <c r="C1094" s="30" t="s">
        <v>2735</v>
      </c>
      <c r="D1094" s="30" t="s">
        <v>2736</v>
      </c>
      <c r="E1094" s="30" t="s">
        <v>2737</v>
      </c>
      <c r="F1094" s="30" t="s">
        <v>2737</v>
      </c>
      <c r="G1094" s="30" t="s">
        <v>2738</v>
      </c>
    </row>
    <row r="1095" spans="1:7" ht="13.8">
      <c r="A1095" s="29" t="s">
        <v>572</v>
      </c>
      <c r="B1095" s="30" t="s">
        <v>2739</v>
      </c>
      <c r="C1095" s="30" t="s">
        <v>2740</v>
      </c>
      <c r="D1095" s="30" t="s">
        <v>2741</v>
      </c>
      <c r="E1095" s="30" t="s">
        <v>2742</v>
      </c>
      <c r="F1095" s="30" t="s">
        <v>2742</v>
      </c>
      <c r="G1095" s="30" t="s">
        <v>2743</v>
      </c>
    </row>
    <row r="1096" spans="1:7" ht="13.8">
      <c r="A1096" s="29" t="s">
        <v>575</v>
      </c>
      <c r="B1096" s="30" t="s">
        <v>2744</v>
      </c>
      <c r="C1096" s="30" t="s">
        <v>2745</v>
      </c>
      <c r="D1096" s="30" t="s">
        <v>2746</v>
      </c>
      <c r="E1096" s="30" t="s">
        <v>2739</v>
      </c>
      <c r="F1096" s="30" t="s">
        <v>2739</v>
      </c>
      <c r="G1096" s="30" t="s">
        <v>2747</v>
      </c>
    </row>
    <row r="1097" spans="1:7" ht="13.8">
      <c r="A1097" s="29" t="s">
        <v>576</v>
      </c>
      <c r="B1097" s="30" t="s">
        <v>2748</v>
      </c>
      <c r="C1097" s="30" t="s">
        <v>2749</v>
      </c>
      <c r="D1097" s="30" t="s">
        <v>2750</v>
      </c>
      <c r="E1097" s="30" t="s">
        <v>2751</v>
      </c>
      <c r="F1097" s="30" t="s">
        <v>2751</v>
      </c>
      <c r="G1097" s="30" t="s">
        <v>2752</v>
      </c>
    </row>
    <row r="1098" spans="1:7" ht="13.8">
      <c r="A1098" s="29" t="s">
        <v>579</v>
      </c>
      <c r="B1098" s="30" t="s">
        <v>2753</v>
      </c>
      <c r="C1098" s="30" t="s">
        <v>2748</v>
      </c>
      <c r="D1098" s="30" t="s">
        <v>2754</v>
      </c>
      <c r="E1098" s="30" t="s">
        <v>2755</v>
      </c>
      <c r="F1098" s="30" t="s">
        <v>2755</v>
      </c>
      <c r="G1098" s="30" t="s">
        <v>2756</v>
      </c>
    </row>
    <row r="1099" spans="1:7" ht="13.8">
      <c r="A1099" s="29" t="s">
        <v>582</v>
      </c>
      <c r="B1099" s="30" t="s">
        <v>2757</v>
      </c>
      <c r="C1099" s="30" t="s">
        <v>2758</v>
      </c>
      <c r="D1099" s="30" t="s">
        <v>2759</v>
      </c>
      <c r="E1099" s="30" t="s">
        <v>2760</v>
      </c>
      <c r="F1099" s="30" t="s">
        <v>2760</v>
      </c>
      <c r="G1099" s="30" t="s">
        <v>2761</v>
      </c>
    </row>
    <row r="1100" spans="1:7" ht="13.8">
      <c r="A1100" s="29" t="s">
        <v>585</v>
      </c>
      <c r="B1100" s="30" t="s">
        <v>2762</v>
      </c>
      <c r="C1100" s="30" t="s">
        <v>2704</v>
      </c>
      <c r="D1100" s="30" t="s">
        <v>2763</v>
      </c>
      <c r="E1100" s="30" t="s">
        <v>2764</v>
      </c>
      <c r="F1100" s="30" t="s">
        <v>2764</v>
      </c>
      <c r="G1100" s="30" t="s">
        <v>2765</v>
      </c>
    </row>
    <row r="1101" spans="1:7" ht="13.8">
      <c r="A1101" s="29" t="s">
        <v>588</v>
      </c>
      <c r="B1101" s="30" t="s">
        <v>2766</v>
      </c>
      <c r="C1101" s="30" t="s">
        <v>2767</v>
      </c>
      <c r="D1101" s="30" t="s">
        <v>2768</v>
      </c>
      <c r="E1101" s="30" t="s">
        <v>2769</v>
      </c>
      <c r="F1101" s="30" t="s">
        <v>2769</v>
      </c>
      <c r="G1101" s="30" t="s">
        <v>2770</v>
      </c>
    </row>
    <row r="1102" spans="1:7" ht="13.8">
      <c r="A1102" s="29" t="s">
        <v>592</v>
      </c>
      <c r="B1102" s="30" t="s">
        <v>2771</v>
      </c>
      <c r="C1102" s="30" t="s">
        <v>2772</v>
      </c>
      <c r="D1102" s="30" t="s">
        <v>2769</v>
      </c>
      <c r="E1102" s="30" t="s">
        <v>2773</v>
      </c>
      <c r="F1102" s="30" t="s">
        <v>2773</v>
      </c>
      <c r="G1102" s="30" t="s">
        <v>2774</v>
      </c>
    </row>
    <row r="1103" spans="1:7" ht="13.8">
      <c r="A1103" s="29" t="s">
        <v>596</v>
      </c>
      <c r="B1103" s="30" t="s">
        <v>2775</v>
      </c>
      <c r="C1103" s="30" t="s">
        <v>2776</v>
      </c>
      <c r="D1103" s="30" t="s">
        <v>2777</v>
      </c>
      <c r="E1103" s="30" t="s">
        <v>2729</v>
      </c>
      <c r="F1103" s="30" t="s">
        <v>2729</v>
      </c>
      <c r="G1103" s="30">
        <v>972.64599999999996</v>
      </c>
    </row>
    <row r="1104" spans="1:7" ht="13.8">
      <c r="A1104" s="29" t="s">
        <v>600</v>
      </c>
      <c r="B1104" s="30" t="s">
        <v>2778</v>
      </c>
      <c r="C1104" s="30" t="s">
        <v>2779</v>
      </c>
      <c r="D1104" s="30" t="s">
        <v>2780</v>
      </c>
      <c r="E1104" s="30" t="s">
        <v>2781</v>
      </c>
      <c r="F1104" s="30" t="s">
        <v>2781</v>
      </c>
      <c r="G1104" s="30">
        <v>829.85599999999999</v>
      </c>
    </row>
    <row r="1105" spans="1:7" ht="13.8">
      <c r="A1105" s="29" t="s">
        <v>605</v>
      </c>
      <c r="B1105" s="30" t="s">
        <v>2766</v>
      </c>
      <c r="C1105" s="30" t="s">
        <v>2782</v>
      </c>
      <c r="D1105" s="30" t="s">
        <v>2783</v>
      </c>
      <c r="E1105" s="30" t="s">
        <v>2784</v>
      </c>
      <c r="F1105" s="30" t="s">
        <v>2784</v>
      </c>
      <c r="G1105" s="30" t="s">
        <v>2785</v>
      </c>
    </row>
    <row r="1106" spans="1:7" ht="13.8">
      <c r="A1106" s="29" t="s">
        <v>609</v>
      </c>
      <c r="B1106" s="30" t="s">
        <v>2786</v>
      </c>
      <c r="C1106" s="30" t="s">
        <v>2787</v>
      </c>
      <c r="D1106" s="30" t="s">
        <v>2788</v>
      </c>
      <c r="E1106" s="30" t="s">
        <v>2769</v>
      </c>
      <c r="F1106" s="30" t="s">
        <v>2769</v>
      </c>
      <c r="G1106" s="30" t="s">
        <v>2789</v>
      </c>
    </row>
    <row r="1107" spans="1:7" ht="13.8">
      <c r="A1107" s="29" t="s">
        <v>613</v>
      </c>
      <c r="B1107" s="30" t="s">
        <v>2790</v>
      </c>
      <c r="C1107" s="30" t="s">
        <v>2791</v>
      </c>
      <c r="D1107" s="30" t="s">
        <v>2792</v>
      </c>
      <c r="E1107" s="30" t="s">
        <v>2793</v>
      </c>
      <c r="F1107" s="30" t="s">
        <v>2793</v>
      </c>
      <c r="G1107" s="30" t="s">
        <v>2794</v>
      </c>
    </row>
    <row r="1108" spans="1:7" ht="13.8">
      <c r="A1108" s="29" t="s">
        <v>617</v>
      </c>
      <c r="B1108" s="30" t="s">
        <v>2795</v>
      </c>
      <c r="C1108" s="30" t="s">
        <v>2796</v>
      </c>
      <c r="D1108" s="30" t="s">
        <v>2797</v>
      </c>
      <c r="E1108" s="30" t="s">
        <v>2798</v>
      </c>
      <c r="F1108" s="30" t="s">
        <v>2798</v>
      </c>
      <c r="G1108" s="30">
        <v>934.27099999999996</v>
      </c>
    </row>
    <row r="1109" spans="1:7" ht="13.8">
      <c r="A1109" s="29" t="s">
        <v>620</v>
      </c>
      <c r="B1109" s="30" t="s">
        <v>2799</v>
      </c>
      <c r="C1109" s="30" t="s">
        <v>2800</v>
      </c>
      <c r="D1109" s="30" t="s">
        <v>2801</v>
      </c>
      <c r="E1109" s="30" t="s">
        <v>2802</v>
      </c>
      <c r="F1109" s="30" t="s">
        <v>2802</v>
      </c>
      <c r="G1109" s="30" t="s">
        <v>2803</v>
      </c>
    </row>
    <row r="1110" spans="1:7" ht="13.8">
      <c r="A1110" s="29" t="s">
        <v>624</v>
      </c>
      <c r="B1110" s="30" t="s">
        <v>2804</v>
      </c>
      <c r="C1110" s="30" t="s">
        <v>2805</v>
      </c>
      <c r="D1110" s="30" t="s">
        <v>2806</v>
      </c>
      <c r="E1110" s="30" t="s">
        <v>2807</v>
      </c>
      <c r="F1110" s="30" t="s">
        <v>2807</v>
      </c>
      <c r="G1110" s="30" t="s">
        <v>2808</v>
      </c>
    </row>
    <row r="1111" spans="1:7" ht="13.8">
      <c r="A1111" s="29" t="s">
        <v>626</v>
      </c>
      <c r="B1111" s="30" t="s">
        <v>2809</v>
      </c>
      <c r="C1111" s="30" t="s">
        <v>2810</v>
      </c>
      <c r="D1111" s="30" t="s">
        <v>2811</v>
      </c>
      <c r="E1111" s="30" t="s">
        <v>2812</v>
      </c>
      <c r="F1111" s="30" t="s">
        <v>2812</v>
      </c>
      <c r="G1111" s="30" t="s">
        <v>2813</v>
      </c>
    </row>
    <row r="1112" spans="1:7" ht="13.8">
      <c r="A1112" s="29" t="s">
        <v>629</v>
      </c>
      <c r="B1112" s="30" t="s">
        <v>2814</v>
      </c>
      <c r="C1112" s="30" t="s">
        <v>2815</v>
      </c>
      <c r="D1112" s="30" t="s">
        <v>2816</v>
      </c>
      <c r="E1112" s="30" t="s">
        <v>2817</v>
      </c>
      <c r="F1112" s="30" t="s">
        <v>2817</v>
      </c>
      <c r="G1112" s="30" t="s">
        <v>2818</v>
      </c>
    </row>
    <row r="1113" spans="1:7" ht="13.8">
      <c r="A1113" s="29" t="s">
        <v>631</v>
      </c>
      <c r="B1113" s="30" t="s">
        <v>2819</v>
      </c>
      <c r="C1113" s="30" t="s">
        <v>2820</v>
      </c>
      <c r="D1113" s="30" t="s">
        <v>2821</v>
      </c>
      <c r="E1113" s="30" t="s">
        <v>2822</v>
      </c>
      <c r="F1113" s="30" t="s">
        <v>2822</v>
      </c>
      <c r="G1113" s="30">
        <v>909.22299999999996</v>
      </c>
    </row>
    <row r="1114" spans="1:7" ht="13.8">
      <c r="A1114" s="29" t="s">
        <v>634</v>
      </c>
      <c r="B1114" s="30" t="s">
        <v>2744</v>
      </c>
      <c r="C1114" s="30" t="s">
        <v>2823</v>
      </c>
      <c r="D1114" s="30" t="s">
        <v>2824</v>
      </c>
      <c r="E1114" s="30" t="s">
        <v>2825</v>
      </c>
      <c r="F1114" s="30" t="s">
        <v>2825</v>
      </c>
      <c r="G1114" s="30" t="s">
        <v>2826</v>
      </c>
    </row>
    <row r="1115" spans="1:7" ht="13.8">
      <c r="A1115" s="29" t="s">
        <v>638</v>
      </c>
      <c r="B1115" s="30" t="s">
        <v>2827</v>
      </c>
      <c r="C1115" s="30" t="s">
        <v>2828</v>
      </c>
      <c r="D1115" s="30" t="s">
        <v>2829</v>
      </c>
      <c r="E1115" s="30" t="s">
        <v>2830</v>
      </c>
      <c r="F1115" s="30" t="s">
        <v>2830</v>
      </c>
      <c r="G1115" s="30">
        <v>948.39300000000003</v>
      </c>
    </row>
    <row r="1116" spans="1:7" ht="13.8">
      <c r="A1116" s="29" t="s">
        <v>642</v>
      </c>
      <c r="B1116" s="30" t="s">
        <v>2831</v>
      </c>
      <c r="C1116" s="30" t="s">
        <v>2832</v>
      </c>
      <c r="D1116" s="30" t="s">
        <v>2833</v>
      </c>
      <c r="E1116" s="30" t="s">
        <v>2834</v>
      </c>
      <c r="F1116" s="30" t="s">
        <v>2834</v>
      </c>
      <c r="G1116" s="30" t="s">
        <v>2835</v>
      </c>
    </row>
    <row r="1117" spans="1:7" ht="13.8">
      <c r="A1117" s="29" t="s">
        <v>646</v>
      </c>
      <c r="B1117" s="30" t="s">
        <v>2836</v>
      </c>
      <c r="C1117" s="30" t="s">
        <v>2837</v>
      </c>
      <c r="D1117" s="30" t="s">
        <v>2838</v>
      </c>
      <c r="E1117" s="30" t="s">
        <v>2831</v>
      </c>
      <c r="F1117" s="30" t="s">
        <v>2831</v>
      </c>
      <c r="G1117" s="30" t="s">
        <v>2839</v>
      </c>
    </row>
    <row r="1118" spans="1:7" ht="13.8">
      <c r="A1118" s="29" t="s">
        <v>649</v>
      </c>
      <c r="B1118" s="30" t="s">
        <v>2840</v>
      </c>
      <c r="C1118" s="30" t="s">
        <v>2820</v>
      </c>
      <c r="D1118" s="30" t="s">
        <v>2841</v>
      </c>
      <c r="E1118" s="30" t="s">
        <v>2842</v>
      </c>
      <c r="F1118" s="30" t="s">
        <v>2842</v>
      </c>
      <c r="G1118" s="30" t="s">
        <v>2843</v>
      </c>
    </row>
    <row r="1119" spans="1:7" ht="13.8">
      <c r="A1119" s="29" t="s">
        <v>2844</v>
      </c>
      <c r="B1119" s="30" t="s">
        <v>2845</v>
      </c>
      <c r="C1119" s="30" t="s">
        <v>2846</v>
      </c>
      <c r="D1119" s="30" t="s">
        <v>2847</v>
      </c>
      <c r="E1119" s="30" t="s">
        <v>2848</v>
      </c>
      <c r="F1119" s="30" t="s">
        <v>2848</v>
      </c>
      <c r="G1119" s="30" t="s">
        <v>2475</v>
      </c>
    </row>
    <row r="1120" spans="1:7" ht="13.8">
      <c r="A1120" s="29" t="s">
        <v>652</v>
      </c>
      <c r="B1120" s="30" t="s">
        <v>2847</v>
      </c>
      <c r="C1120" s="30" t="s">
        <v>2849</v>
      </c>
      <c r="D1120" s="30" t="s">
        <v>2850</v>
      </c>
      <c r="E1120" s="30" t="s">
        <v>2830</v>
      </c>
      <c r="F1120" s="30" t="s">
        <v>2830</v>
      </c>
      <c r="G1120" s="30" t="s">
        <v>2475</v>
      </c>
    </row>
    <row r="1121" spans="1:7" ht="13.8">
      <c r="A1121" s="29" t="s">
        <v>657</v>
      </c>
      <c r="B1121" s="30" t="s">
        <v>2851</v>
      </c>
      <c r="C1121" s="30" t="s">
        <v>2852</v>
      </c>
      <c r="D1121" s="30" t="s">
        <v>2853</v>
      </c>
      <c r="E1121" s="30" t="s">
        <v>2854</v>
      </c>
      <c r="F1121" s="30" t="s">
        <v>2854</v>
      </c>
      <c r="G1121" s="30" t="s">
        <v>2855</v>
      </c>
    </row>
    <row r="1122" spans="1:7" ht="13.8">
      <c r="A1122" s="29" t="s">
        <v>661</v>
      </c>
      <c r="B1122" s="30" t="s">
        <v>2856</v>
      </c>
      <c r="C1122" s="30" t="s">
        <v>2857</v>
      </c>
      <c r="D1122" s="30" t="s">
        <v>2858</v>
      </c>
      <c r="E1122" s="30" t="s">
        <v>2859</v>
      </c>
      <c r="F1122" s="30" t="s">
        <v>2859</v>
      </c>
      <c r="G1122" s="30" t="s">
        <v>2860</v>
      </c>
    </row>
    <row r="1123" spans="1:7" ht="13.8">
      <c r="A1123" s="29" t="s">
        <v>664</v>
      </c>
      <c r="B1123" s="30" t="s">
        <v>2861</v>
      </c>
      <c r="C1123" s="30" t="s">
        <v>2862</v>
      </c>
      <c r="D1123" s="30" t="s">
        <v>2861</v>
      </c>
      <c r="E1123" s="30" t="s">
        <v>2863</v>
      </c>
      <c r="F1123" s="30" t="s">
        <v>2863</v>
      </c>
      <c r="G1123" s="30" t="s">
        <v>2864</v>
      </c>
    </row>
    <row r="1124" spans="1:7" ht="13.8">
      <c r="A1124" s="29" t="s">
        <v>666</v>
      </c>
      <c r="B1124" s="30" t="s">
        <v>2865</v>
      </c>
      <c r="C1124" s="30" t="s">
        <v>2866</v>
      </c>
      <c r="D1124" s="30" t="s">
        <v>2867</v>
      </c>
      <c r="E1124" s="30" t="s">
        <v>2868</v>
      </c>
      <c r="F1124" s="30" t="s">
        <v>2868</v>
      </c>
      <c r="G1124" s="30" t="s">
        <v>2869</v>
      </c>
    </row>
    <row r="1125" spans="1:7" ht="13.8">
      <c r="A1125" s="29" t="s">
        <v>668</v>
      </c>
      <c r="B1125" s="30" t="s">
        <v>2870</v>
      </c>
      <c r="C1125" s="30" t="s">
        <v>2871</v>
      </c>
      <c r="D1125" s="30" t="s">
        <v>2872</v>
      </c>
      <c r="E1125" s="30" t="s">
        <v>2873</v>
      </c>
      <c r="F1125" s="30" t="s">
        <v>2873</v>
      </c>
      <c r="G1125" s="30" t="s">
        <v>2874</v>
      </c>
    </row>
    <row r="1126" spans="1:7" ht="13.8">
      <c r="A1126" s="29" t="s">
        <v>670</v>
      </c>
      <c r="B1126" s="30" t="s">
        <v>2870</v>
      </c>
      <c r="C1126" s="30" t="s">
        <v>2875</v>
      </c>
      <c r="D1126" s="30" t="s">
        <v>2876</v>
      </c>
      <c r="E1126" s="30" t="s">
        <v>2877</v>
      </c>
      <c r="F1126" s="30" t="s">
        <v>2877</v>
      </c>
      <c r="G1126" s="30">
        <v>902.5</v>
      </c>
    </row>
    <row r="1127" spans="1:7" ht="13.8">
      <c r="A1127" s="29" t="s">
        <v>673</v>
      </c>
      <c r="B1127" s="30" t="s">
        <v>2878</v>
      </c>
      <c r="C1127" s="30" t="s">
        <v>2879</v>
      </c>
      <c r="D1127" s="30" t="s">
        <v>2880</v>
      </c>
      <c r="E1127" s="30" t="s">
        <v>2881</v>
      </c>
      <c r="F1127" s="30" t="s">
        <v>2881</v>
      </c>
      <c r="G1127" s="30" t="s">
        <v>2882</v>
      </c>
    </row>
    <row r="1128" spans="1:7" ht="13.8">
      <c r="A1128" s="29" t="s">
        <v>675</v>
      </c>
      <c r="B1128" s="30" t="s">
        <v>2883</v>
      </c>
      <c r="C1128" s="30" t="s">
        <v>2884</v>
      </c>
      <c r="D1128" s="30" t="s">
        <v>2885</v>
      </c>
      <c r="E1128" s="30" t="s">
        <v>2886</v>
      </c>
      <c r="F1128" s="30" t="s">
        <v>2886</v>
      </c>
      <c r="G1128" s="30" t="s">
        <v>2887</v>
      </c>
    </row>
    <row r="1129" spans="1:7" ht="13.8">
      <c r="A1129" s="29" t="s">
        <v>677</v>
      </c>
      <c r="B1129" s="30" t="s">
        <v>2888</v>
      </c>
      <c r="C1129" s="30" t="s">
        <v>2889</v>
      </c>
      <c r="D1129" s="30" t="s">
        <v>2890</v>
      </c>
      <c r="E1129" s="30" t="s">
        <v>2891</v>
      </c>
      <c r="F1129" s="30" t="s">
        <v>2891</v>
      </c>
      <c r="G1129" s="30" t="s">
        <v>2892</v>
      </c>
    </row>
    <row r="1130" spans="1:7" ht="13.8">
      <c r="A1130" s="29" t="s">
        <v>680</v>
      </c>
      <c r="B1130" s="30" t="s">
        <v>2893</v>
      </c>
      <c r="C1130" s="30" t="s">
        <v>2894</v>
      </c>
      <c r="D1130" s="30" t="s">
        <v>2895</v>
      </c>
      <c r="E1130" s="30" t="s">
        <v>2896</v>
      </c>
      <c r="F1130" s="30" t="s">
        <v>2896</v>
      </c>
      <c r="G1130" s="30" t="s">
        <v>2475</v>
      </c>
    </row>
    <row r="1131" spans="1:7" ht="13.8">
      <c r="A1131" s="29" t="s">
        <v>684</v>
      </c>
      <c r="B1131" s="30" t="s">
        <v>2897</v>
      </c>
      <c r="C1131" s="30" t="s">
        <v>2898</v>
      </c>
      <c r="D1131" s="30" t="s">
        <v>2899</v>
      </c>
      <c r="E1131" s="30" t="s">
        <v>2900</v>
      </c>
      <c r="F1131" s="30" t="s">
        <v>2900</v>
      </c>
      <c r="G1131" s="30">
        <v>870.57100000000003</v>
      </c>
    </row>
    <row r="1132" spans="1:7" ht="13.8">
      <c r="A1132" s="29" t="s">
        <v>689</v>
      </c>
      <c r="B1132" s="30" t="s">
        <v>2901</v>
      </c>
      <c r="C1132" s="30" t="s">
        <v>2902</v>
      </c>
      <c r="D1132" s="30" t="s">
        <v>2903</v>
      </c>
      <c r="E1132" s="30" t="s">
        <v>2904</v>
      </c>
      <c r="F1132" s="30" t="s">
        <v>2904</v>
      </c>
      <c r="G1132" s="30" t="s">
        <v>2905</v>
      </c>
    </row>
    <row r="1133" spans="1:7" ht="13.8">
      <c r="A1133" s="29" t="s">
        <v>693</v>
      </c>
      <c r="B1133" s="30" t="s">
        <v>2906</v>
      </c>
      <c r="C1133" s="30" t="s">
        <v>2906</v>
      </c>
      <c r="D1133" s="30" t="s">
        <v>2907</v>
      </c>
      <c r="E1133" s="30" t="s">
        <v>2908</v>
      </c>
      <c r="F1133" s="30" t="s">
        <v>2908</v>
      </c>
      <c r="G1133" s="30" t="s">
        <v>2909</v>
      </c>
    </row>
    <row r="1134" spans="1:7" ht="13.8">
      <c r="A1134" s="29" t="s">
        <v>696</v>
      </c>
      <c r="B1134" s="30" t="s">
        <v>2910</v>
      </c>
      <c r="C1134" s="30" t="s">
        <v>2911</v>
      </c>
      <c r="D1134" s="30" t="s">
        <v>2912</v>
      </c>
      <c r="E1134" s="30" t="s">
        <v>2913</v>
      </c>
      <c r="F1134" s="30" t="s">
        <v>2913</v>
      </c>
      <c r="G1134" s="30" t="s">
        <v>2914</v>
      </c>
    </row>
    <row r="1135" spans="1:7" ht="13.8">
      <c r="A1135" s="29" t="s">
        <v>698</v>
      </c>
      <c r="B1135" s="30" t="s">
        <v>2915</v>
      </c>
      <c r="C1135" s="30" t="s">
        <v>2916</v>
      </c>
      <c r="D1135" s="30" t="s">
        <v>2917</v>
      </c>
      <c r="E1135" s="30" t="s">
        <v>2918</v>
      </c>
      <c r="F1135" s="30" t="s">
        <v>2918</v>
      </c>
      <c r="G1135" s="30" t="s">
        <v>2919</v>
      </c>
    </row>
    <row r="1136" spans="1:7" ht="13.8">
      <c r="A1136" s="29" t="s">
        <v>700</v>
      </c>
      <c r="B1136" s="30" t="s">
        <v>2920</v>
      </c>
      <c r="C1136" s="30" t="s">
        <v>2913</v>
      </c>
      <c r="D1136" s="30" t="s">
        <v>2921</v>
      </c>
      <c r="E1136" s="30" t="s">
        <v>2906</v>
      </c>
      <c r="F1136" s="30" t="s">
        <v>2906</v>
      </c>
      <c r="G1136" s="30" t="s">
        <v>2922</v>
      </c>
    </row>
    <row r="1137" spans="1:7" ht="13.8">
      <c r="A1137" s="29" t="s">
        <v>702</v>
      </c>
      <c r="B1137" s="30" t="s">
        <v>2923</v>
      </c>
      <c r="C1137" s="30" t="s">
        <v>2924</v>
      </c>
      <c r="D1137" s="30" t="s">
        <v>2925</v>
      </c>
      <c r="E1137" s="30" t="s">
        <v>2926</v>
      </c>
      <c r="F1137" s="30" t="s">
        <v>2926</v>
      </c>
      <c r="G1137" s="30">
        <v>912.37099999999998</v>
      </c>
    </row>
    <row r="1138" spans="1:7" ht="13.8">
      <c r="A1138" s="29" t="s">
        <v>704</v>
      </c>
      <c r="B1138" s="30" t="s">
        <v>2927</v>
      </c>
      <c r="C1138" s="30" t="s">
        <v>2928</v>
      </c>
      <c r="D1138" s="30" t="s">
        <v>2929</v>
      </c>
      <c r="E1138" s="30" t="s">
        <v>2930</v>
      </c>
      <c r="F1138" s="30" t="s">
        <v>2930</v>
      </c>
      <c r="G1138" s="30" t="s">
        <v>2931</v>
      </c>
    </row>
    <row r="1139" spans="1:7" ht="13.8">
      <c r="A1139" s="29" t="s">
        <v>706</v>
      </c>
      <c r="B1139" s="30" t="s">
        <v>2932</v>
      </c>
      <c r="C1139" s="30" t="s">
        <v>2933</v>
      </c>
      <c r="D1139" s="30" t="s">
        <v>2934</v>
      </c>
      <c r="E1139" s="30" t="s">
        <v>2935</v>
      </c>
      <c r="F1139" s="30" t="s">
        <v>2935</v>
      </c>
      <c r="G1139" s="30" t="s">
        <v>2475</v>
      </c>
    </row>
    <row r="1140" spans="1:7" ht="13.8">
      <c r="A1140" s="29" t="s">
        <v>709</v>
      </c>
      <c r="B1140" s="30" t="s">
        <v>2936</v>
      </c>
      <c r="C1140" s="30" t="s">
        <v>2937</v>
      </c>
      <c r="D1140" s="30" t="s">
        <v>2938</v>
      </c>
      <c r="E1140" s="30" t="s">
        <v>2939</v>
      </c>
      <c r="F1140" s="30" t="s">
        <v>2939</v>
      </c>
      <c r="G1140" s="30" t="s">
        <v>2940</v>
      </c>
    </row>
    <row r="1141" spans="1:7" ht="13.8">
      <c r="A1141" s="29" t="s">
        <v>713</v>
      </c>
      <c r="B1141" s="30" t="s">
        <v>2901</v>
      </c>
      <c r="C1141" s="30" t="s">
        <v>2921</v>
      </c>
      <c r="D1141" s="30" t="s">
        <v>2941</v>
      </c>
      <c r="E1141" s="30" t="s">
        <v>2896</v>
      </c>
      <c r="F1141" s="30" t="s">
        <v>2896</v>
      </c>
      <c r="G1141" s="30" t="s">
        <v>2942</v>
      </c>
    </row>
    <row r="1142" spans="1:7" ht="13.8">
      <c r="A1142" s="29" t="s">
        <v>715</v>
      </c>
      <c r="B1142" s="30" t="s">
        <v>2943</v>
      </c>
      <c r="C1142" s="30" t="s">
        <v>2944</v>
      </c>
      <c r="D1142" s="30" t="s">
        <v>2945</v>
      </c>
      <c r="E1142" s="30" t="s">
        <v>2946</v>
      </c>
      <c r="F1142" s="30" t="s">
        <v>2946</v>
      </c>
      <c r="G1142" s="30" t="s">
        <v>2947</v>
      </c>
    </row>
    <row r="1143" spans="1:7" ht="13.8">
      <c r="A1143" s="29" t="s">
        <v>718</v>
      </c>
      <c r="B1143" s="30" t="s">
        <v>2948</v>
      </c>
      <c r="C1143" s="30" t="s">
        <v>2949</v>
      </c>
      <c r="D1143" s="30" t="s">
        <v>2950</v>
      </c>
      <c r="E1143" s="30" t="s">
        <v>2951</v>
      </c>
      <c r="F1143" s="30" t="s">
        <v>2951</v>
      </c>
      <c r="G1143" s="30" t="s">
        <v>2952</v>
      </c>
    </row>
    <row r="1144" spans="1:7" ht="13.8">
      <c r="A1144" s="29" t="s">
        <v>720</v>
      </c>
      <c r="B1144" s="30" t="s">
        <v>2953</v>
      </c>
      <c r="C1144" s="30" t="s">
        <v>2954</v>
      </c>
      <c r="D1144" s="30" t="s">
        <v>2955</v>
      </c>
      <c r="E1144" s="30" t="s">
        <v>2956</v>
      </c>
      <c r="F1144" s="30" t="s">
        <v>2956</v>
      </c>
      <c r="G1144" s="30" t="s">
        <v>2957</v>
      </c>
    </row>
    <row r="1145" spans="1:7" ht="13.8">
      <c r="A1145" s="29" t="s">
        <v>724</v>
      </c>
      <c r="B1145" s="30" t="s">
        <v>2958</v>
      </c>
      <c r="C1145" s="30" t="s">
        <v>2959</v>
      </c>
      <c r="D1145" s="30" t="s">
        <v>2960</v>
      </c>
      <c r="E1145" s="30" t="s">
        <v>2961</v>
      </c>
      <c r="F1145" s="30" t="s">
        <v>2961</v>
      </c>
      <c r="G1145" s="30" t="s">
        <v>2962</v>
      </c>
    </row>
    <row r="1146" spans="1:7" ht="13.8">
      <c r="A1146" s="29" t="s">
        <v>726</v>
      </c>
      <c r="B1146" s="30" t="s">
        <v>2963</v>
      </c>
      <c r="C1146" s="30" t="s">
        <v>2964</v>
      </c>
      <c r="D1146" s="30" t="s">
        <v>2965</v>
      </c>
      <c r="E1146" s="30" t="s">
        <v>2966</v>
      </c>
      <c r="F1146" s="30" t="s">
        <v>2966</v>
      </c>
      <c r="G1146" s="30" t="s">
        <v>2967</v>
      </c>
    </row>
    <row r="1147" spans="1:7" ht="13.8">
      <c r="A1147" s="29" t="s">
        <v>727</v>
      </c>
      <c r="B1147" s="30" t="s">
        <v>2968</v>
      </c>
      <c r="C1147" s="30" t="s">
        <v>2969</v>
      </c>
      <c r="D1147" s="30" t="s">
        <v>2970</v>
      </c>
      <c r="E1147" s="30" t="s">
        <v>2971</v>
      </c>
      <c r="F1147" s="30" t="s">
        <v>2971</v>
      </c>
      <c r="G1147" s="30" t="s">
        <v>2972</v>
      </c>
    </row>
    <row r="1148" spans="1:7" ht="13.8">
      <c r="A1148" s="29" t="s">
        <v>730</v>
      </c>
      <c r="B1148" s="30" t="s">
        <v>2973</v>
      </c>
      <c r="C1148" s="30" t="s">
        <v>2974</v>
      </c>
      <c r="D1148" s="30" t="s">
        <v>2975</v>
      </c>
      <c r="E1148" s="30" t="s">
        <v>2976</v>
      </c>
      <c r="F1148" s="30" t="s">
        <v>2976</v>
      </c>
      <c r="G1148" s="30" t="s">
        <v>2977</v>
      </c>
    </row>
    <row r="1149" spans="1:7" ht="13.8">
      <c r="A1149" s="29" t="s">
        <v>733</v>
      </c>
      <c r="B1149" s="30" t="s">
        <v>2978</v>
      </c>
      <c r="C1149" s="30" t="s">
        <v>2979</v>
      </c>
      <c r="D1149" s="30" t="s">
        <v>2980</v>
      </c>
      <c r="E1149" s="30" t="s">
        <v>2981</v>
      </c>
      <c r="F1149" s="30" t="s">
        <v>2981</v>
      </c>
      <c r="G1149" s="30" t="s">
        <v>2982</v>
      </c>
    </row>
    <row r="1150" spans="1:7" ht="13.8">
      <c r="A1150" s="29" t="s">
        <v>736</v>
      </c>
      <c r="B1150" s="30" t="s">
        <v>2936</v>
      </c>
      <c r="C1150" s="30" t="s">
        <v>2983</v>
      </c>
      <c r="D1150" s="30" t="s">
        <v>2984</v>
      </c>
      <c r="E1150" s="30" t="s">
        <v>2985</v>
      </c>
      <c r="F1150" s="30" t="s">
        <v>2985</v>
      </c>
      <c r="G1150" s="30" t="s">
        <v>2986</v>
      </c>
    </row>
    <row r="1151" spans="1:7" ht="13.8">
      <c r="A1151" s="29" t="s">
        <v>738</v>
      </c>
      <c r="B1151" s="30" t="s">
        <v>2987</v>
      </c>
      <c r="C1151" s="30" t="s">
        <v>2988</v>
      </c>
      <c r="D1151" s="30" t="s">
        <v>2989</v>
      </c>
      <c r="E1151" s="30" t="s">
        <v>2990</v>
      </c>
      <c r="F1151" s="30" t="s">
        <v>2990</v>
      </c>
      <c r="G1151" s="30" t="s">
        <v>2991</v>
      </c>
    </row>
    <row r="1152" spans="1:7" ht="13.8">
      <c r="A1152" s="29" t="s">
        <v>739</v>
      </c>
      <c r="B1152" s="30" t="s">
        <v>2992</v>
      </c>
      <c r="C1152" s="30" t="s">
        <v>2993</v>
      </c>
      <c r="D1152" s="30" t="s">
        <v>2994</v>
      </c>
      <c r="E1152" s="30" t="s">
        <v>2995</v>
      </c>
      <c r="F1152" s="30" t="s">
        <v>2995</v>
      </c>
      <c r="G1152" s="30" t="s">
        <v>2996</v>
      </c>
    </row>
    <row r="1153" spans="1:7" ht="13.8">
      <c r="A1153" s="29" t="s">
        <v>741</v>
      </c>
      <c r="B1153" s="30" t="s">
        <v>2997</v>
      </c>
      <c r="C1153" s="30" t="s">
        <v>2998</v>
      </c>
      <c r="D1153" s="30" t="s">
        <v>2999</v>
      </c>
      <c r="E1153" s="30" t="s">
        <v>3000</v>
      </c>
      <c r="F1153" s="30" t="s">
        <v>3000</v>
      </c>
      <c r="G1153" s="30" t="s">
        <v>3001</v>
      </c>
    </row>
    <row r="1154" spans="1:7" ht="13.8">
      <c r="A1154" s="29" t="s">
        <v>743</v>
      </c>
      <c r="B1154" s="30" t="s">
        <v>3002</v>
      </c>
      <c r="C1154" s="30" t="s">
        <v>3003</v>
      </c>
      <c r="D1154" s="30" t="s">
        <v>2960</v>
      </c>
      <c r="E1154" s="30" t="s">
        <v>3004</v>
      </c>
      <c r="F1154" s="30" t="s">
        <v>3004</v>
      </c>
      <c r="G1154" s="30" t="s">
        <v>3005</v>
      </c>
    </row>
    <row r="1155" spans="1:7" ht="13.8">
      <c r="A1155" s="29" t="s">
        <v>745</v>
      </c>
      <c r="B1155" s="30" t="s">
        <v>3006</v>
      </c>
      <c r="C1155" s="30" t="s">
        <v>3007</v>
      </c>
      <c r="D1155" s="30" t="s">
        <v>3008</v>
      </c>
      <c r="E1155" s="30" t="s">
        <v>3009</v>
      </c>
      <c r="F1155" s="30" t="s">
        <v>3009</v>
      </c>
      <c r="G1155" s="30" t="s">
        <v>3010</v>
      </c>
    </row>
    <row r="1156" spans="1:7" ht="13.8">
      <c r="A1156" s="29" t="s">
        <v>746</v>
      </c>
      <c r="B1156" s="30" t="s">
        <v>3011</v>
      </c>
      <c r="C1156" s="30" t="s">
        <v>3012</v>
      </c>
      <c r="D1156" s="30" t="s">
        <v>3013</v>
      </c>
      <c r="E1156" s="30" t="s">
        <v>3014</v>
      </c>
      <c r="F1156" s="30" t="s">
        <v>3014</v>
      </c>
      <c r="G1156" s="30" t="s">
        <v>3015</v>
      </c>
    </row>
    <row r="1157" spans="1:7" ht="13.8">
      <c r="A1157" s="29" t="s">
        <v>748</v>
      </c>
      <c r="B1157" s="30" t="s">
        <v>3016</v>
      </c>
      <c r="C1157" s="30" t="s">
        <v>3017</v>
      </c>
      <c r="D1157" s="30" t="s">
        <v>3018</v>
      </c>
      <c r="E1157" s="30" t="s">
        <v>3019</v>
      </c>
      <c r="F1157" s="30" t="s">
        <v>3019</v>
      </c>
      <c r="G1157" s="30" t="s">
        <v>3020</v>
      </c>
    </row>
    <row r="1158" spans="1:7" ht="13.8">
      <c r="A1158" s="29" t="s">
        <v>750</v>
      </c>
      <c r="B1158" s="30" t="s">
        <v>3021</v>
      </c>
      <c r="C1158" s="30" t="s">
        <v>3022</v>
      </c>
      <c r="D1158" s="30" t="s">
        <v>3023</v>
      </c>
      <c r="E1158" s="30" t="s">
        <v>3024</v>
      </c>
      <c r="F1158" s="30" t="s">
        <v>3024</v>
      </c>
      <c r="G1158" s="30" t="s">
        <v>3025</v>
      </c>
    </row>
    <row r="1159" spans="1:7" ht="13.8">
      <c r="A1159" s="29" t="s">
        <v>752</v>
      </c>
      <c r="B1159" s="30" t="s">
        <v>3026</v>
      </c>
      <c r="C1159" s="30" t="s">
        <v>3027</v>
      </c>
      <c r="D1159" s="30" t="s">
        <v>3028</v>
      </c>
      <c r="E1159" s="30" t="s">
        <v>3029</v>
      </c>
      <c r="F1159" s="30" t="s">
        <v>3029</v>
      </c>
      <c r="G1159" s="30" t="s">
        <v>3030</v>
      </c>
    </row>
    <row r="1160" spans="1:7" ht="13.8">
      <c r="A1160" s="29" t="s">
        <v>753</v>
      </c>
      <c r="B1160" s="30" t="s">
        <v>3031</v>
      </c>
      <c r="C1160" s="30" t="s">
        <v>3032</v>
      </c>
      <c r="D1160" s="30" t="s">
        <v>3033</v>
      </c>
      <c r="E1160" s="30" t="s">
        <v>3034</v>
      </c>
      <c r="F1160" s="30" t="s">
        <v>3034</v>
      </c>
      <c r="G1160" s="30" t="s">
        <v>3035</v>
      </c>
    </row>
    <row r="1161" spans="1:7" ht="13.8">
      <c r="A1161" s="29" t="s">
        <v>754</v>
      </c>
      <c r="B1161" s="30" t="s">
        <v>3036</v>
      </c>
      <c r="C1161" s="30" t="s">
        <v>3037</v>
      </c>
      <c r="D1161" s="30" t="s">
        <v>3038</v>
      </c>
      <c r="E1161" s="30" t="s">
        <v>3039</v>
      </c>
      <c r="F1161" s="30" t="s">
        <v>3039</v>
      </c>
      <c r="G1161" s="30">
        <v>989.37300000000005</v>
      </c>
    </row>
    <row r="1162" spans="1:7" ht="13.8">
      <c r="A1162" s="29" t="s">
        <v>756</v>
      </c>
      <c r="B1162" s="30" t="s">
        <v>3026</v>
      </c>
      <c r="C1162" s="30" t="s">
        <v>3040</v>
      </c>
      <c r="D1162" s="30" t="s">
        <v>3041</v>
      </c>
      <c r="E1162" s="30" t="s">
        <v>3042</v>
      </c>
      <c r="F1162" s="30" t="s">
        <v>3042</v>
      </c>
      <c r="G1162" s="30" t="s">
        <v>3043</v>
      </c>
    </row>
    <row r="1163" spans="1:7" ht="13.8">
      <c r="A1163" s="29" t="s">
        <v>759</v>
      </c>
      <c r="B1163" s="30" t="s">
        <v>3044</v>
      </c>
      <c r="C1163" s="30" t="s">
        <v>3045</v>
      </c>
      <c r="D1163" s="30" t="s">
        <v>3046</v>
      </c>
      <c r="E1163" s="30" t="s">
        <v>3047</v>
      </c>
      <c r="F1163" s="30" t="s">
        <v>3047</v>
      </c>
      <c r="G1163" s="30" t="s">
        <v>3048</v>
      </c>
    </row>
    <row r="1164" spans="1:7" ht="13.8">
      <c r="A1164" s="29" t="s">
        <v>762</v>
      </c>
      <c r="B1164" s="30" t="s">
        <v>3049</v>
      </c>
      <c r="C1164" s="30" t="s">
        <v>3050</v>
      </c>
      <c r="D1164" s="30" t="s">
        <v>3051</v>
      </c>
      <c r="E1164" s="30" t="s">
        <v>3052</v>
      </c>
      <c r="F1164" s="30" t="s">
        <v>3052</v>
      </c>
      <c r="G1164" s="30" t="s">
        <v>3053</v>
      </c>
    </row>
    <row r="1165" spans="1:7" ht="13.8">
      <c r="A1165" s="29" t="s">
        <v>763</v>
      </c>
      <c r="B1165" s="30" t="s">
        <v>3054</v>
      </c>
      <c r="C1165" s="30" t="s">
        <v>3055</v>
      </c>
      <c r="D1165" s="30" t="s">
        <v>3056</v>
      </c>
      <c r="E1165" s="30" t="s">
        <v>3057</v>
      </c>
      <c r="F1165" s="30" t="s">
        <v>3057</v>
      </c>
      <c r="G1165" s="30" t="s">
        <v>3058</v>
      </c>
    </row>
    <row r="1166" spans="1:7" ht="13.8">
      <c r="A1166" s="29" t="s">
        <v>764</v>
      </c>
      <c r="B1166" s="30" t="s">
        <v>3059</v>
      </c>
      <c r="C1166" s="30" t="s">
        <v>3060</v>
      </c>
      <c r="D1166" s="30" t="s">
        <v>3061</v>
      </c>
      <c r="E1166" s="30" t="s">
        <v>3062</v>
      </c>
      <c r="F1166" s="30" t="s">
        <v>3062</v>
      </c>
      <c r="G1166" s="30" t="s">
        <v>3063</v>
      </c>
    </row>
    <row r="1167" spans="1:7" ht="13.8">
      <c r="A1167" s="29" t="s">
        <v>765</v>
      </c>
      <c r="B1167" s="30" t="s">
        <v>3064</v>
      </c>
      <c r="C1167" s="30" t="s">
        <v>3065</v>
      </c>
      <c r="D1167" s="30" t="s">
        <v>3066</v>
      </c>
      <c r="E1167" s="30" t="s">
        <v>3067</v>
      </c>
      <c r="F1167" s="30" t="s">
        <v>3067</v>
      </c>
      <c r="G1167" s="30" t="s">
        <v>3068</v>
      </c>
    </row>
    <row r="1168" spans="1:7" ht="13.8">
      <c r="A1168" s="29" t="s">
        <v>767</v>
      </c>
      <c r="B1168" s="30" t="s">
        <v>3069</v>
      </c>
      <c r="C1168" s="30" t="s">
        <v>3070</v>
      </c>
      <c r="D1168" s="30" t="s">
        <v>3071</v>
      </c>
      <c r="E1168" s="30" t="s">
        <v>3072</v>
      </c>
      <c r="F1168" s="30" t="s">
        <v>3072</v>
      </c>
      <c r="G1168" s="30" t="s">
        <v>3073</v>
      </c>
    </row>
    <row r="1169" spans="1:7" ht="13.8">
      <c r="A1169" s="29" t="s">
        <v>770</v>
      </c>
      <c r="B1169" s="30" t="s">
        <v>3074</v>
      </c>
      <c r="C1169" s="30" t="s">
        <v>3075</v>
      </c>
      <c r="D1169" s="30" t="s">
        <v>3076</v>
      </c>
      <c r="E1169" s="30" t="s">
        <v>3077</v>
      </c>
      <c r="F1169" s="30" t="s">
        <v>3077</v>
      </c>
      <c r="G1169" s="30" t="s">
        <v>3078</v>
      </c>
    </row>
    <row r="1170" spans="1:7" ht="13.8">
      <c r="A1170" s="29" t="s">
        <v>773</v>
      </c>
      <c r="B1170" s="30" t="s">
        <v>3079</v>
      </c>
      <c r="C1170" s="30" t="s">
        <v>3080</v>
      </c>
      <c r="D1170" s="30" t="s">
        <v>3081</v>
      </c>
      <c r="E1170" s="30" t="s">
        <v>3082</v>
      </c>
      <c r="F1170" s="30" t="s">
        <v>3082</v>
      </c>
      <c r="G1170" s="30" t="s">
        <v>3083</v>
      </c>
    </row>
    <row r="1171" spans="1:7" ht="13.8">
      <c r="A1171" s="29" t="s">
        <v>776</v>
      </c>
      <c r="B1171" s="30" t="s">
        <v>3084</v>
      </c>
      <c r="C1171" s="30" t="s">
        <v>3085</v>
      </c>
      <c r="D1171" s="30" t="s">
        <v>3086</v>
      </c>
      <c r="E1171" s="30" t="s">
        <v>3087</v>
      </c>
      <c r="F1171" s="30" t="s">
        <v>3087</v>
      </c>
      <c r="G1171" s="30" t="s">
        <v>3088</v>
      </c>
    </row>
    <row r="1172" spans="1:7" ht="13.8">
      <c r="A1172" s="29" t="s">
        <v>779</v>
      </c>
      <c r="B1172" s="30" t="s">
        <v>3089</v>
      </c>
      <c r="C1172" s="30" t="s">
        <v>3090</v>
      </c>
      <c r="D1172" s="30" t="s">
        <v>3091</v>
      </c>
      <c r="E1172" s="30" t="s">
        <v>3092</v>
      </c>
      <c r="F1172" s="30" t="s">
        <v>3092</v>
      </c>
      <c r="G1172" s="30" t="s">
        <v>3093</v>
      </c>
    </row>
    <row r="1173" spans="1:7" ht="13.8">
      <c r="A1173" s="29" t="s">
        <v>780</v>
      </c>
      <c r="B1173" s="30" t="s">
        <v>3094</v>
      </c>
      <c r="C1173" s="30" t="s">
        <v>3095</v>
      </c>
      <c r="D1173" s="30" t="s">
        <v>3096</v>
      </c>
      <c r="E1173" s="30" t="s">
        <v>3097</v>
      </c>
      <c r="F1173" s="30" t="s">
        <v>3097</v>
      </c>
      <c r="G1173" s="30" t="s">
        <v>3098</v>
      </c>
    </row>
    <row r="1174" spans="1:7" ht="13.8">
      <c r="A1174" s="29" t="s">
        <v>783</v>
      </c>
      <c r="B1174" s="30" t="s">
        <v>3099</v>
      </c>
      <c r="C1174" s="30" t="s">
        <v>3100</v>
      </c>
      <c r="D1174" s="30" t="s">
        <v>3101</v>
      </c>
      <c r="E1174" s="30" t="s">
        <v>3102</v>
      </c>
      <c r="F1174" s="30" t="s">
        <v>3102</v>
      </c>
      <c r="G1174" s="30" t="s">
        <v>3103</v>
      </c>
    </row>
    <row r="1175" spans="1:7" ht="13.8">
      <c r="A1175" s="29" t="s">
        <v>787</v>
      </c>
      <c r="B1175" s="30" t="s">
        <v>3104</v>
      </c>
      <c r="C1175" s="30" t="s">
        <v>3105</v>
      </c>
      <c r="D1175" s="30" t="s">
        <v>3106</v>
      </c>
      <c r="E1175" s="30" t="s">
        <v>3107</v>
      </c>
      <c r="F1175" s="30" t="s">
        <v>3107</v>
      </c>
      <c r="G1175" s="30" t="s">
        <v>3108</v>
      </c>
    </row>
    <row r="1176" spans="1:7" ht="13.8">
      <c r="A1176" s="29" t="s">
        <v>790</v>
      </c>
      <c r="B1176" s="30" t="s">
        <v>3109</v>
      </c>
      <c r="C1176" s="30" t="s">
        <v>3110</v>
      </c>
      <c r="D1176" s="30" t="s">
        <v>3111</v>
      </c>
      <c r="E1176" s="30" t="s">
        <v>3112</v>
      </c>
      <c r="F1176" s="30" t="s">
        <v>3112</v>
      </c>
      <c r="G1176" s="30" t="s">
        <v>3113</v>
      </c>
    </row>
    <row r="1177" spans="1:7" ht="13.8">
      <c r="A1177" s="29" t="s">
        <v>794</v>
      </c>
      <c r="B1177" s="30" t="s">
        <v>3114</v>
      </c>
      <c r="C1177" s="30" t="s">
        <v>3115</v>
      </c>
      <c r="D1177" s="30" t="s">
        <v>3116</v>
      </c>
      <c r="E1177" s="30" t="s">
        <v>3117</v>
      </c>
      <c r="F1177" s="30" t="s">
        <v>3117</v>
      </c>
      <c r="G1177" s="30" t="s">
        <v>3118</v>
      </c>
    </row>
    <row r="1178" spans="1:7" ht="13.8">
      <c r="A1178" s="29" t="s">
        <v>797</v>
      </c>
      <c r="B1178" s="30" t="s">
        <v>3119</v>
      </c>
      <c r="C1178" s="30" t="s">
        <v>3120</v>
      </c>
      <c r="D1178" s="30" t="s">
        <v>3121</v>
      </c>
      <c r="E1178" s="30" t="s">
        <v>3122</v>
      </c>
      <c r="F1178" s="30" t="s">
        <v>3122</v>
      </c>
      <c r="G1178" s="30" t="s">
        <v>3123</v>
      </c>
    </row>
    <row r="1179" spans="1:7" ht="13.8">
      <c r="A1179" s="29" t="s">
        <v>800</v>
      </c>
      <c r="B1179" s="30" t="s">
        <v>3124</v>
      </c>
      <c r="C1179" s="30" t="s">
        <v>3125</v>
      </c>
      <c r="D1179" s="30" t="s">
        <v>3126</v>
      </c>
      <c r="E1179" s="30" t="s">
        <v>3127</v>
      </c>
      <c r="F1179" s="30" t="s">
        <v>3127</v>
      </c>
      <c r="G1179" s="30" t="s">
        <v>3128</v>
      </c>
    </row>
    <row r="1180" spans="1:7" ht="13.8">
      <c r="A1180" s="29" t="s">
        <v>804</v>
      </c>
      <c r="B1180" s="30" t="s">
        <v>3129</v>
      </c>
      <c r="C1180" s="30" t="s">
        <v>3130</v>
      </c>
      <c r="D1180" s="30" t="s">
        <v>3131</v>
      </c>
      <c r="E1180" s="30" t="s">
        <v>3132</v>
      </c>
      <c r="F1180" s="30" t="s">
        <v>3132</v>
      </c>
      <c r="G1180" s="30" t="s">
        <v>3133</v>
      </c>
    </row>
    <row r="1181" spans="1:7" ht="13.8">
      <c r="A1181" s="29" t="s">
        <v>808</v>
      </c>
      <c r="B1181" s="30" t="s">
        <v>3134</v>
      </c>
      <c r="C1181" s="30" t="s">
        <v>3135</v>
      </c>
      <c r="D1181" s="30" t="s">
        <v>3136</v>
      </c>
      <c r="E1181" s="30" t="s">
        <v>3137</v>
      </c>
      <c r="F1181" s="30" t="s">
        <v>3137</v>
      </c>
      <c r="G1181" s="30" t="s">
        <v>3138</v>
      </c>
    </row>
    <row r="1182" spans="1:7" ht="13.8">
      <c r="A1182" s="29" t="s">
        <v>810</v>
      </c>
      <c r="B1182" s="30" t="s">
        <v>3139</v>
      </c>
      <c r="C1182" s="30" t="s">
        <v>3140</v>
      </c>
      <c r="D1182" s="30" t="s">
        <v>3141</v>
      </c>
      <c r="E1182" s="30" t="s">
        <v>3142</v>
      </c>
      <c r="F1182" s="30" t="s">
        <v>3142</v>
      </c>
      <c r="G1182" s="30" t="s">
        <v>3143</v>
      </c>
    </row>
    <row r="1183" spans="1:7" ht="13.8">
      <c r="A1183" s="29" t="s">
        <v>812</v>
      </c>
      <c r="B1183" s="30" t="s">
        <v>3144</v>
      </c>
      <c r="C1183" s="30" t="s">
        <v>3145</v>
      </c>
      <c r="D1183" s="30" t="s">
        <v>3146</v>
      </c>
      <c r="E1183" s="30" t="s">
        <v>3147</v>
      </c>
      <c r="F1183" s="30" t="s">
        <v>3147</v>
      </c>
      <c r="G1183" s="30" t="s">
        <v>3148</v>
      </c>
    </row>
    <row r="1184" spans="1:7" ht="13.8">
      <c r="A1184" s="29" t="s">
        <v>813</v>
      </c>
      <c r="B1184" s="30" t="s">
        <v>3149</v>
      </c>
      <c r="C1184" s="30" t="s">
        <v>3150</v>
      </c>
      <c r="D1184" s="30" t="s">
        <v>3151</v>
      </c>
      <c r="E1184" s="30" t="s">
        <v>3152</v>
      </c>
      <c r="F1184" s="30" t="s">
        <v>3152</v>
      </c>
      <c r="G1184" s="30" t="s">
        <v>3153</v>
      </c>
    </row>
    <row r="1185" spans="1:7" ht="13.8">
      <c r="A1185" s="29" t="s">
        <v>814</v>
      </c>
      <c r="B1185" s="30" t="s">
        <v>3154</v>
      </c>
      <c r="C1185" s="30" t="s">
        <v>3155</v>
      </c>
      <c r="D1185" s="30" t="s">
        <v>3156</v>
      </c>
      <c r="E1185" s="30" t="s">
        <v>3157</v>
      </c>
      <c r="F1185" s="30" t="s">
        <v>3157</v>
      </c>
      <c r="G1185" s="30" t="s">
        <v>3158</v>
      </c>
    </row>
    <row r="1186" spans="1:7" ht="13.8">
      <c r="A1186" s="29" t="s">
        <v>818</v>
      </c>
      <c r="B1186" s="30" t="s">
        <v>3159</v>
      </c>
      <c r="C1186" s="30" t="s">
        <v>3160</v>
      </c>
      <c r="D1186" s="30" t="s">
        <v>3161</v>
      </c>
      <c r="E1186" s="30" t="s">
        <v>3162</v>
      </c>
      <c r="F1186" s="30" t="s">
        <v>3162</v>
      </c>
      <c r="G1186" s="30" t="s">
        <v>3163</v>
      </c>
    </row>
    <row r="1187" spans="1:7" ht="13.8">
      <c r="A1187" s="29" t="s">
        <v>819</v>
      </c>
      <c r="B1187" s="30" t="s">
        <v>3164</v>
      </c>
      <c r="C1187" s="30" t="s">
        <v>3165</v>
      </c>
      <c r="D1187" s="30" t="s">
        <v>3166</v>
      </c>
      <c r="E1187" s="30" t="s">
        <v>3167</v>
      </c>
      <c r="F1187" s="30" t="s">
        <v>3167</v>
      </c>
      <c r="G1187" s="30" t="s">
        <v>3168</v>
      </c>
    </row>
    <row r="1188" spans="1:7" ht="13.8">
      <c r="A1188" s="29" t="s">
        <v>822</v>
      </c>
      <c r="B1188" s="30" t="s">
        <v>3169</v>
      </c>
      <c r="C1188" s="30" t="s">
        <v>3170</v>
      </c>
      <c r="D1188" s="30" t="s">
        <v>3171</v>
      </c>
      <c r="E1188" s="30" t="s">
        <v>3172</v>
      </c>
      <c r="F1188" s="30" t="s">
        <v>3172</v>
      </c>
      <c r="G1188" s="30" t="s">
        <v>3173</v>
      </c>
    </row>
    <row r="1189" spans="1:7" ht="13.8">
      <c r="A1189" s="29" t="s">
        <v>824</v>
      </c>
      <c r="B1189" s="30" t="s">
        <v>2965</v>
      </c>
      <c r="C1189" s="30" t="s">
        <v>3174</v>
      </c>
      <c r="D1189" s="30" t="s">
        <v>3175</v>
      </c>
      <c r="E1189" s="30" t="s">
        <v>3176</v>
      </c>
      <c r="F1189" s="30" t="s">
        <v>3176</v>
      </c>
      <c r="G1189" s="30" t="s">
        <v>3177</v>
      </c>
    </row>
    <row r="1190" spans="1:7" ht="13.8">
      <c r="A1190" s="29" t="s">
        <v>827</v>
      </c>
      <c r="B1190" s="30" t="s">
        <v>3178</v>
      </c>
      <c r="C1190" s="30" t="s">
        <v>3179</v>
      </c>
      <c r="D1190" s="30" t="s">
        <v>3180</v>
      </c>
      <c r="E1190" s="30" t="s">
        <v>3181</v>
      </c>
      <c r="F1190" s="30" t="s">
        <v>3181</v>
      </c>
      <c r="G1190" s="30" t="s">
        <v>3182</v>
      </c>
    </row>
    <row r="1191" spans="1:7" ht="13.8">
      <c r="A1191" s="29" t="s">
        <v>829</v>
      </c>
      <c r="B1191" s="30" t="s">
        <v>3183</v>
      </c>
      <c r="C1191" s="30" t="s">
        <v>3184</v>
      </c>
      <c r="D1191" s="30" t="s">
        <v>3185</v>
      </c>
      <c r="E1191" s="30" t="s">
        <v>3186</v>
      </c>
      <c r="F1191" s="30" t="s">
        <v>3186</v>
      </c>
      <c r="G1191" s="30" t="s">
        <v>3187</v>
      </c>
    </row>
    <row r="1192" spans="1:7" ht="13.8">
      <c r="A1192" s="29" t="s">
        <v>832</v>
      </c>
      <c r="B1192" s="30" t="s">
        <v>3188</v>
      </c>
      <c r="C1192" s="30" t="s">
        <v>3189</v>
      </c>
      <c r="D1192" s="30" t="s">
        <v>3190</v>
      </c>
      <c r="E1192" s="30" t="s">
        <v>3018</v>
      </c>
      <c r="F1192" s="30" t="s">
        <v>3018</v>
      </c>
      <c r="G1192" s="30">
        <v>412.78500000000003</v>
      </c>
    </row>
    <row r="1193" spans="1:7" ht="13.8">
      <c r="A1193" s="29" t="s">
        <v>834</v>
      </c>
      <c r="B1193" s="30" t="s">
        <v>3191</v>
      </c>
      <c r="C1193" s="30" t="s">
        <v>3192</v>
      </c>
      <c r="D1193" s="30" t="s">
        <v>3193</v>
      </c>
      <c r="E1193" s="30" t="s">
        <v>3194</v>
      </c>
      <c r="F1193" s="30" t="s">
        <v>3194</v>
      </c>
      <c r="G1193" s="30">
        <v>704.39400000000001</v>
      </c>
    </row>
    <row r="1194" spans="1:7" ht="13.8">
      <c r="A1194" s="29" t="s">
        <v>835</v>
      </c>
      <c r="B1194" s="30" t="s">
        <v>3188</v>
      </c>
      <c r="C1194" s="30" t="s">
        <v>3195</v>
      </c>
      <c r="D1194" s="30" t="s">
        <v>3196</v>
      </c>
      <c r="E1194" s="30" t="s">
        <v>3197</v>
      </c>
      <c r="F1194" s="30" t="s">
        <v>3197</v>
      </c>
      <c r="G1194" s="30" t="s">
        <v>3198</v>
      </c>
    </row>
    <row r="1195" spans="1:7" ht="13.8">
      <c r="A1195" s="29" t="s">
        <v>836</v>
      </c>
      <c r="B1195" s="30" t="s">
        <v>3199</v>
      </c>
      <c r="C1195" s="30" t="s">
        <v>3200</v>
      </c>
      <c r="D1195" s="30" t="s">
        <v>3201</v>
      </c>
      <c r="E1195" s="30" t="s">
        <v>3202</v>
      </c>
      <c r="F1195" s="30" t="s">
        <v>3202</v>
      </c>
      <c r="G1195" s="30" t="s">
        <v>3203</v>
      </c>
    </row>
    <row r="1196" spans="1:7" ht="13.8">
      <c r="A1196" s="29" t="s">
        <v>837</v>
      </c>
      <c r="B1196" s="30" t="s">
        <v>3204</v>
      </c>
      <c r="C1196" s="30" t="s">
        <v>3205</v>
      </c>
      <c r="D1196" s="30" t="s">
        <v>3206</v>
      </c>
      <c r="E1196" s="30" t="s">
        <v>3207</v>
      </c>
      <c r="F1196" s="30" t="s">
        <v>3207</v>
      </c>
      <c r="G1196" s="30" t="s">
        <v>3208</v>
      </c>
    </row>
    <row r="1197" spans="1:7" ht="13.8">
      <c r="A1197" s="29" t="s">
        <v>839</v>
      </c>
      <c r="B1197" s="30" t="s">
        <v>3209</v>
      </c>
      <c r="C1197" s="30" t="s">
        <v>3162</v>
      </c>
      <c r="D1197" s="30" t="s">
        <v>3210</v>
      </c>
      <c r="E1197" s="30" t="s">
        <v>3211</v>
      </c>
      <c r="F1197" s="30" t="s">
        <v>3211</v>
      </c>
      <c r="G1197" s="30" t="s">
        <v>3212</v>
      </c>
    </row>
    <row r="1198" spans="1:7" ht="13.8">
      <c r="A1198" s="29" t="s">
        <v>842</v>
      </c>
      <c r="B1198" s="30" t="s">
        <v>3213</v>
      </c>
      <c r="C1198" s="30" t="s">
        <v>3214</v>
      </c>
      <c r="D1198" s="30" t="s">
        <v>3215</v>
      </c>
      <c r="E1198" s="30" t="s">
        <v>3216</v>
      </c>
      <c r="F1198" s="30" t="s">
        <v>3216</v>
      </c>
      <c r="G1198" s="30" t="s">
        <v>3217</v>
      </c>
    </row>
    <row r="1199" spans="1:7" ht="13.8">
      <c r="A1199" s="29" t="s">
        <v>845</v>
      </c>
      <c r="B1199" s="30" t="s">
        <v>3218</v>
      </c>
      <c r="C1199" s="30" t="s">
        <v>3219</v>
      </c>
      <c r="D1199" s="30" t="s">
        <v>3220</v>
      </c>
      <c r="E1199" s="30" t="s">
        <v>3221</v>
      </c>
      <c r="F1199" s="30" t="s">
        <v>3221</v>
      </c>
      <c r="G1199" s="30" t="s">
        <v>3222</v>
      </c>
    </row>
    <row r="1200" spans="1:7" ht="13.2">
      <c r="A1200" s="32" t="s">
        <v>3223</v>
      </c>
      <c r="B1200" s="33"/>
      <c r="C1200" s="33"/>
      <c r="D1200" s="33"/>
      <c r="E1200" s="33"/>
      <c r="F1200" s="33"/>
      <c r="G1200" s="33"/>
    </row>
    <row r="1201" spans="1:7" ht="22.8">
      <c r="A1201" s="34" t="s">
        <v>3224</v>
      </c>
      <c r="B1201" s="33"/>
      <c r="C1201" s="33"/>
      <c r="D1201" s="33"/>
      <c r="E1201" s="33"/>
      <c r="F1201" s="33"/>
      <c r="G1201" s="33"/>
    </row>
    <row r="1202" spans="1:7" ht="22.8">
      <c r="A1202" s="35" t="s">
        <v>3225</v>
      </c>
      <c r="B1202" s="33"/>
      <c r="C1202" s="33"/>
      <c r="D1202" s="33"/>
      <c r="E1202" s="33"/>
      <c r="F1202" s="33"/>
      <c r="G1202" s="33"/>
    </row>
    <row r="1203" spans="1:7" ht="22.8">
      <c r="A1203" s="34" t="s">
        <v>3226</v>
      </c>
      <c r="B1203" s="33"/>
      <c r="C1203" s="33"/>
      <c r="D1203" s="33"/>
      <c r="E1203" s="33"/>
      <c r="F1203" s="33"/>
      <c r="G1203" s="33"/>
    </row>
    <row r="1204" spans="1:7" ht="22.8">
      <c r="A1204" s="35" t="s">
        <v>3227</v>
      </c>
      <c r="B1204" s="33"/>
      <c r="C1204" s="33"/>
      <c r="D1204" s="33"/>
      <c r="E1204" s="33"/>
      <c r="F1204" s="33"/>
      <c r="G1204" s="33"/>
    </row>
    <row r="1205" spans="1:7" ht="22.8" hidden="1">
      <c r="A1205" s="34" t="s">
        <v>3228</v>
      </c>
      <c r="B1205" s="33"/>
      <c r="C1205" s="33"/>
      <c r="D1205" s="33"/>
      <c r="E1205" s="33"/>
      <c r="F1205" s="33"/>
      <c r="G1205" s="33"/>
    </row>
    <row r="1206" spans="1:7" ht="22.8">
      <c r="A1206" s="35" t="s">
        <v>3229</v>
      </c>
      <c r="B1206" s="33"/>
      <c r="C1206" s="33"/>
      <c r="D1206" s="33"/>
      <c r="E1206" s="33"/>
      <c r="F1206" s="33"/>
      <c r="G1206" s="33"/>
    </row>
  </sheetData>
  <autoFilter ref="A1:G1206" xr:uid="{00000000-0009-0000-0000-000002000000}">
    <filterColumn colId="0">
      <filters>
        <filter val="Apr 1, 2025"/>
        <filter val="Apr 10, 2025"/>
        <filter val="Apr 11, 2025"/>
        <filter val="Apr 14, 2025"/>
        <filter val="Apr 15, 2025"/>
        <filter val="Apr 16, 2025"/>
        <filter val="Apr 17, 2025"/>
        <filter val="Apr 2, 2025"/>
        <filter val="Apr 21, 2025"/>
        <filter val="Apr 22, 2025"/>
        <filter val="Apr 23, 2025"/>
        <filter val="Apr 24, 2025"/>
        <filter val="Apr 25, 2025"/>
        <filter val="Apr 28, 2025"/>
        <filter val="Apr 29, 2025"/>
        <filter val="Apr 3, 2025"/>
        <filter val="Apr 30, 2025"/>
        <filter val="Apr 4, 2025"/>
        <filter val="Apr 7, 2025"/>
        <filter val="Apr 8, 2025"/>
        <filter val="Apr 9, 2025"/>
        <filter val="Aug 1, 2025"/>
        <filter val="Aug 11, 2025"/>
        <filter val="Aug 12, 2025"/>
        <filter val="Aug 13, 2025"/>
        <filter val="Aug 14, 2025"/>
        <filter val="Aug 15, 2025"/>
        <filter val="Aug 18, 2025"/>
        <filter val="Aug 19, 2025"/>
        <filter val="Aug 20, 2025"/>
        <filter val="Aug 21, 2025"/>
        <filter val="Aug 22, 2025"/>
        <filter val="Aug 25, 2025"/>
        <filter val="Aug 26, 2025"/>
        <filter val="Aug 27, 2025"/>
        <filter val="Aug 28, 2025"/>
        <filter val="Aug 29, 2025"/>
        <filter val="Aug 4, 2025"/>
        <filter val="Aug 5, 2025"/>
        <filter val="Aug 6, 2025"/>
        <filter val="Aug 7, 2025"/>
        <filter val="Aug 8, 2025"/>
        <filter val="Copyright © 2026 Yahoo. All rights reserved."/>
        <filter val="Data Disclaimer"/>
        <filter val="Dec 1, 2025"/>
        <filter val="Dec 10, 2025"/>
        <filter val="Dec 11, 2025"/>
        <filter val="Dec 12, 2025"/>
        <filter val="Dec 15, 2025"/>
        <filter val="Dec 16, 2025"/>
        <filter val="Dec 17, 2025"/>
        <filter val="Dec 18, 2025"/>
        <filter val="Dec 19, 2025"/>
        <filter val="Dec 2, 2025"/>
        <filter val="Dec 22, 2025"/>
        <filter val="Dec 23, 2025"/>
        <filter val="Dec 24, 2025"/>
        <filter val="Dec 26, 2025"/>
        <filter val="Dec 29, 2025"/>
        <filter val="Dec 3, 2025"/>
        <filter val="Dec 30, 2025"/>
        <filter val="Dec 31, 2025"/>
        <filter val="Dec 4, 2025"/>
        <filter val="Dec 5, 2025"/>
        <filter val="Dec 8, 2025"/>
        <filter val="Dec 9, 2025"/>
        <filter val="Dow JonesS&amp;P 500DAX IndexNvidiaTeslaDJTTariffs"/>
        <filter val="Explore more"/>
        <filter val="Feb 10, 2026"/>
        <filter val="Feb 11, 2026"/>
        <filter val="Feb 12, 2026"/>
        <filter val="Feb 13, 2026"/>
        <filter val="Feb 17, 2026"/>
        <filter val="Feb 18, 2026"/>
        <filter val="Feb 19, 2026"/>
        <filter val="Feb 2, 2026"/>
        <filter val="Feb 20, 2026"/>
        <filter val="Feb 23, 2026"/>
        <filter val="Feb 24, 2026"/>
        <filter val="Feb 25, 2026"/>
        <filter val="Feb 26, 2026"/>
        <filter val="Feb 27, 2026"/>
        <filter val="Feb 3, 2026"/>
        <filter val="Feb 4, 2026"/>
        <filter val="Feb 5, 2026"/>
        <filter val="Feb 6, 2026"/>
        <filter val="Feb 9, 2026"/>
        <filter val="Jan 12, 2026"/>
        <filter val="Jan 13, 2026"/>
        <filter val="Jan 14, 2026"/>
        <filter val="Jan 15, 2026"/>
        <filter val="Jan 16, 2026"/>
        <filter val="Jan 2, 2026"/>
        <filter val="Jan 20, 2026"/>
        <filter val="Jan 21, 2026"/>
        <filter val="Jan 22, 2026"/>
        <filter val="Jan 23, 2026"/>
        <filter val="Jan 26, 2026"/>
        <filter val="Jan 27, 2026"/>
        <filter val="Jan 28, 2026"/>
        <filter val="Jan 29, 2026"/>
        <filter val="Jan 30, 2026"/>
        <filter val="Jan 5, 2026"/>
        <filter val="Jan 6, 2026"/>
        <filter val="Jan 7, 2026"/>
        <filter val="Jan 8, 2026"/>
        <filter val="Jan 9, 2026"/>
        <filter val="Jul 1, 2025"/>
        <filter val="Jul 10, 2025"/>
        <filter val="Jul 11, 2025"/>
        <filter val="Jul 14, 2025"/>
        <filter val="Jul 15, 2025"/>
        <filter val="Jul 16, 2025"/>
        <filter val="Jul 17, 2025"/>
        <filter val="Jul 18, 2025"/>
        <filter val="Jul 2, 2025"/>
        <filter val="Jul 21, 2025"/>
        <filter val="Jul 22, 2025"/>
        <filter val="Jul 23, 2025"/>
        <filter val="Jul 24, 2025"/>
        <filter val="Jul 25, 2025"/>
        <filter val="Jul 28, 2025"/>
        <filter val="Jul 29, 2025"/>
        <filter val="Jul 3, 2025"/>
        <filter val="Jul 30, 2025"/>
        <filter val="Jul 31, 2025"/>
        <filter val="Jul 4, 2025"/>
        <filter val="Jul 7, 2025"/>
        <filter val="Jul 8, 2025"/>
        <filter val="Jul 9, 2025"/>
        <filter val="Jun 10, 2025"/>
        <filter val="Jun 11, 2025"/>
        <filter val="Jun 12, 2025"/>
        <filter val="Jun 13, 2025"/>
        <filter val="Jun 16, 2025"/>
        <filter val="Jun 17, 2025"/>
        <filter val="Jun 18, 2025"/>
        <filter val="Jun 2, 2025"/>
        <filter val="Jun 20, 2025"/>
        <filter val="Jun 23, 2025"/>
        <filter val="Jun 24, 2025"/>
        <filter val="Jun 25, 2025"/>
        <filter val="Jun 26, 2025"/>
        <filter val="Jun 27, 2025"/>
        <filter val="Jun 3, 2025"/>
        <filter val="Jun 30, 2025"/>
        <filter val="Jun 4, 2025"/>
        <filter val="Jun 5, 2025"/>
        <filter val="Jun 6, 2025"/>
        <filter val="Jun 9, 2025"/>
        <filter val="Mar 10, 2026"/>
        <filter val="Mar 11, 2025"/>
        <filter val="Mar 12, 2025"/>
        <filter val="Mar 13, 2025"/>
        <filter val="Mar 14, 2025"/>
        <filter val="Mar 17, 2025"/>
        <filter val="Mar 18, 2025"/>
        <filter val="Mar 19, 2025"/>
        <filter val="Mar 2, 2026"/>
        <filter val="Mar 20, 2025"/>
        <filter val="Mar 21, 2025"/>
        <filter val="Mar 24, 2025"/>
        <filter val="Mar 25, 2025"/>
        <filter val="Mar 26, 2025"/>
        <filter val="Mar 27, 2025"/>
        <filter val="Mar 28, 2025"/>
        <filter val="Mar 3, 2026"/>
        <filter val="Mar 31, 2025"/>
        <filter val="Mar 4, 2026"/>
        <filter val="Mar 5, 2026"/>
        <filter val="Mar 6, 2026"/>
        <filter val="Mar 9, 2026"/>
        <filter val="May 1, 2025"/>
        <filter val="May 12, 2025"/>
        <filter val="May 13, 2025"/>
        <filter val="May 14, 2025"/>
        <filter val="May 15, 2025"/>
        <filter val="May 16, 2025"/>
        <filter val="May 19, 2025"/>
        <filter val="May 2, 2025"/>
        <filter val="May 20, 2025"/>
        <filter val="May 21, 2025"/>
        <filter val="May 22, 2025"/>
        <filter val="May 23, 2025"/>
        <filter val="May 27, 2025"/>
        <filter val="May 28, 2025"/>
        <filter val="May 29, 2025"/>
        <filter val="May 30, 2025"/>
        <filter val="May 5, 2025"/>
        <filter val="May 6, 2025"/>
        <filter val="May 7, 2025"/>
        <filter val="May 8, 2025"/>
        <filter val="May 9, 2025"/>
        <filter val="MortgagesCredit CardsSectorsCrypto HeatmapFinancial News"/>
        <filter val="Nov 10, 2025"/>
        <filter val="Nov 11, 2025"/>
        <filter val="Nov 12, 2025"/>
        <filter val="Nov 13, 2025"/>
        <filter val="Nov 14, 2025"/>
        <filter val="Nov 17, 2025"/>
        <filter val="Nov 18, 2025"/>
        <filter val="Nov 19, 2025"/>
        <filter val="Nov 20, 2025"/>
        <filter val="Nov 21, 2025"/>
        <filter val="Nov 24, 2025"/>
        <filter val="Nov 25, 2025"/>
        <filter val="Nov 26, 2025"/>
        <filter val="Nov 28, 2025"/>
        <filter val="Nov 3, 2025"/>
        <filter val="Nov 4, 2025"/>
        <filter val="Nov 5, 2025"/>
        <filter val="Nov 6, 2025"/>
        <filter val="Nov 7, 2025"/>
        <filter val="Oct 1, 2025"/>
        <filter val="Oct 10, 2025"/>
        <filter val="Oct 13, 2025"/>
        <filter val="Oct 14, 2025"/>
        <filter val="Oct 15, 2025"/>
        <filter val="Oct 16, 2025"/>
        <filter val="Oct 17, 2025"/>
        <filter val="Oct 2, 2025"/>
        <filter val="Oct 20, 2025"/>
        <filter val="Oct 21, 2025"/>
        <filter val="Oct 22, 2025"/>
        <filter val="Oct 23, 2025"/>
        <filter val="Oct 24, 2025"/>
        <filter val="Oct 27, 2025"/>
        <filter val="Oct 28, 2025"/>
        <filter val="Oct 29, 2025"/>
        <filter val="Oct 3, 2025"/>
        <filter val="Oct 30, 2025"/>
        <filter val="Oct 31, 2025"/>
        <filter val="Oct 6, 2025"/>
        <filter val="Oct 7, 2025"/>
        <filter val="Oct 8, 2025"/>
        <filter val="Oct 9, 2025"/>
        <filter val="Sep 10, 2025"/>
        <filter val="Sep 11, 2025"/>
        <filter val="Sep 12, 2025"/>
        <filter val="Sep 15, 2025"/>
        <filter val="Sep 16, 2025"/>
        <filter val="Sep 17, 2025"/>
        <filter val="Sep 18, 2025"/>
        <filter val="Sep 19, 2025"/>
        <filter val="Sep 2, 2025"/>
        <filter val="Sep 22, 2025"/>
        <filter val="Sep 23, 2025"/>
        <filter val="Sep 24, 2025"/>
        <filter val="Sep 25, 2025"/>
        <filter val="Sep 26, 2025"/>
        <filter val="Sep 29, 2025"/>
        <filter val="Sep 3, 2025"/>
        <filter val="Sep 30, 2025"/>
        <filter val="Sep 4, 2025"/>
        <filter val="Sep 5, 2025"/>
        <filter val="Sep 8, 2025"/>
        <filter val="Sep 9, 2025"/>
        <filter val="What's trending"/>
      </filters>
    </filterColumn>
  </autoFilter>
  <hyperlinks>
    <hyperlink ref="I2" r:id="rId1" xr:uid="{00000000-0004-0000-0200-000000000000}"/>
    <hyperlink ref="A1202" r:id="rId2" xr:uid="{00000000-0004-0000-0200-000001000000}"/>
    <hyperlink ref="A1204" r:id="rId3" xr:uid="{00000000-0004-0000-0200-000002000000}"/>
    <hyperlink ref="A1206" r:id="rId4" xr:uid="{00000000-0004-0000-0200-00000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tabSelected="1" workbookViewId="0">
      <selection activeCell="P15" sqref="P15"/>
    </sheetView>
  </sheetViews>
  <sheetFormatPr defaultColWidth="12.6640625" defaultRowHeight="15.75" customHeight="1"/>
  <cols>
    <col min="6" max="6" width="15" customWidth="1"/>
    <col min="7" max="7" width="14.33203125" customWidth="1"/>
    <col min="8" max="8" width="15.88671875" customWidth="1"/>
    <col min="10" max="10" width="15" customWidth="1"/>
    <col min="11" max="11" width="14.33203125" customWidth="1"/>
    <col min="12" max="12" width="15.88671875" customWidth="1"/>
    <col min="14" max="14" width="25.33203125" customWidth="1"/>
    <col min="15" max="15" width="14.88671875" customWidth="1"/>
    <col min="16" max="16" width="14.33203125" customWidth="1"/>
    <col min="18" max="18" width="14.109375" customWidth="1"/>
    <col min="19" max="19" width="10.77734375" customWidth="1"/>
    <col min="20" max="20" width="13.33203125" customWidth="1"/>
    <col min="23" max="23" width="118" customWidth="1"/>
  </cols>
  <sheetData>
    <row r="1" spans="1:23">
      <c r="A1" s="1" t="s">
        <v>0</v>
      </c>
      <c r="B1" s="36" t="s">
        <v>3230</v>
      </c>
      <c r="C1" s="36" t="s">
        <v>3231</v>
      </c>
      <c r="D1" s="37" t="s">
        <v>3232</v>
      </c>
      <c r="F1" s="38" t="s">
        <v>3233</v>
      </c>
      <c r="G1" s="38" t="s">
        <v>3234</v>
      </c>
      <c r="H1" s="38" t="s">
        <v>3235</v>
      </c>
      <c r="J1" s="38" t="s">
        <v>3236</v>
      </c>
      <c r="K1" s="38" t="s">
        <v>3237</v>
      </c>
      <c r="L1" s="38" t="s">
        <v>3238</v>
      </c>
      <c r="N1" s="39"/>
      <c r="O1" s="38" t="s">
        <v>3239</v>
      </c>
      <c r="P1" s="38" t="s">
        <v>3240</v>
      </c>
      <c r="R1" s="38" t="s">
        <v>3241</v>
      </c>
      <c r="U1" s="38" t="s">
        <v>3242</v>
      </c>
    </row>
    <row r="2" spans="1:23">
      <c r="A2" s="5" t="s">
        <v>7</v>
      </c>
      <c r="B2" s="40">
        <v>26.25</v>
      </c>
      <c r="C2" s="7">
        <v>138.6</v>
      </c>
      <c r="D2" s="41">
        <v>6787.25</v>
      </c>
      <c r="F2" s="38">
        <f t="shared" ref="F2:H2" si="0">(B2-B3)/B3</f>
        <v>2.2594468250876441E-2</v>
      </c>
      <c r="G2" s="38">
        <f t="shared" si="0"/>
        <v>4.4933655006031428E-2</v>
      </c>
      <c r="H2" s="38">
        <f t="shared" si="0"/>
        <v>-2.0217615056609324E-3</v>
      </c>
      <c r="J2" s="38">
        <f t="shared" ref="J2:L2" si="1">LN(B2/B3)</f>
        <v>2.2342994154583722E-2</v>
      </c>
      <c r="K2" s="38">
        <f t="shared" si="1"/>
        <v>4.395339536881817E-2</v>
      </c>
      <c r="L2" s="38">
        <f t="shared" si="1"/>
        <v>-2.0238080243007712E-3</v>
      </c>
      <c r="N2" s="42" t="s">
        <v>3243</v>
      </c>
      <c r="O2" s="38">
        <f t="shared" ref="O2:P2" si="2">MAX(J:J)</f>
        <v>7.4616058743369429</v>
      </c>
      <c r="P2" s="38">
        <f t="shared" si="2"/>
        <v>0.12137280450694087</v>
      </c>
      <c r="R2" s="38" t="s">
        <v>3244</v>
      </c>
      <c r="S2" s="43">
        <v>2.0801257E-2</v>
      </c>
      <c r="U2" s="38" t="s">
        <v>3244</v>
      </c>
      <c r="V2" s="43">
        <v>2.0801257E-2</v>
      </c>
      <c r="W2" s="38" t="s">
        <v>3245</v>
      </c>
    </row>
    <row r="3" spans="1:23">
      <c r="A3" s="9" t="s">
        <v>12</v>
      </c>
      <c r="B3" s="40">
        <v>25.67</v>
      </c>
      <c r="C3" s="7">
        <v>132.63999999999999</v>
      </c>
      <c r="D3" s="41">
        <v>6801</v>
      </c>
      <c r="F3" s="38">
        <f t="shared" ref="F3:H3" si="3">(B3-B4)/B4</f>
        <v>-3.8804811796661958E-3</v>
      </c>
      <c r="G3" s="38">
        <f t="shared" si="3"/>
        <v>1.4144812294517887E-2</v>
      </c>
      <c r="H3" s="38">
        <f t="shared" si="3"/>
        <v>8.4893419833178864E-3</v>
      </c>
      <c r="J3" s="38">
        <f t="shared" ref="J3:L3" si="4">LN(B3/B4)</f>
        <v>-3.8880297812245923E-3</v>
      </c>
      <c r="K3" s="38">
        <f t="shared" si="4"/>
        <v>1.4045707885923716E-2</v>
      </c>
      <c r="L3" s="38">
        <f t="shared" si="4"/>
        <v>8.4535101691938647E-3</v>
      </c>
      <c r="N3" s="42" t="s">
        <v>3246</v>
      </c>
      <c r="O3" s="38">
        <f t="shared" ref="O3:P3" si="5">MIN(J:J)</f>
        <v>-7.4570000126520721</v>
      </c>
      <c r="P3" s="38">
        <f t="shared" si="5"/>
        <v>-0.10415560155862262</v>
      </c>
      <c r="R3" s="44" t="s">
        <v>3247</v>
      </c>
      <c r="S3" s="45"/>
      <c r="T3" s="45"/>
      <c r="U3" s="44" t="s">
        <v>3248</v>
      </c>
      <c r="V3" s="45"/>
      <c r="W3" s="38" t="s">
        <v>3249</v>
      </c>
    </row>
    <row r="4" spans="1:23">
      <c r="A4" s="9" t="s">
        <v>16</v>
      </c>
      <c r="B4" s="40">
        <v>25.77</v>
      </c>
      <c r="C4" s="7">
        <v>130.79</v>
      </c>
      <c r="D4" s="41">
        <v>6743.75</v>
      </c>
      <c r="F4" s="38">
        <f t="shared" ref="F4:H4" si="6">(B4-B5)/B5</f>
        <v>-6.2568206620589262E-2</v>
      </c>
      <c r="G4" s="38">
        <f t="shared" si="6"/>
        <v>3.3755274261603203E-3</v>
      </c>
      <c r="H4" s="38">
        <f t="shared" si="6"/>
        <v>-1.3386489155480779E-2</v>
      </c>
      <c r="J4" s="38">
        <f t="shared" ref="J4:L4" si="7">LN(B4/B5)</f>
        <v>-6.4611277512880608E-2</v>
      </c>
      <c r="K4" s="38">
        <f t="shared" si="7"/>
        <v>3.3698431215503626E-3</v>
      </c>
      <c r="L4" s="38">
        <f t="shared" si="7"/>
        <v>-1.3476895927472886E-2</v>
      </c>
      <c r="N4" s="42" t="s">
        <v>3250</v>
      </c>
      <c r="O4" s="38">
        <f t="shared" ref="O4:P4" si="8">O2-O3</f>
        <v>14.918605886989015</v>
      </c>
      <c r="P4" s="38">
        <f t="shared" si="8"/>
        <v>0.22552840606556349</v>
      </c>
      <c r="R4" s="44" t="s">
        <v>3251</v>
      </c>
      <c r="S4" s="45"/>
      <c r="T4" s="45"/>
      <c r="U4" s="44" t="s">
        <v>3252</v>
      </c>
      <c r="V4" s="45"/>
    </row>
    <row r="5" spans="1:23">
      <c r="A5" s="9" t="s">
        <v>20</v>
      </c>
      <c r="B5" s="40">
        <v>27.49</v>
      </c>
      <c r="C5" s="7">
        <v>130.35</v>
      </c>
      <c r="D5" s="41">
        <v>6835.25</v>
      </c>
      <c r="F5" s="38">
        <f t="shared" ref="F5:H5" si="9">(B5-B6)/B6</f>
        <v>-1.6105941302791797E-2</v>
      </c>
      <c r="G5" s="38">
        <f t="shared" si="9"/>
        <v>-2.1910407443535798E-2</v>
      </c>
      <c r="H5" s="38">
        <f t="shared" si="9"/>
        <v>-5.9264107038976147E-3</v>
      </c>
      <c r="J5" s="38">
        <f t="shared" ref="J5:L5" si="10">LN(B5/B6)</f>
        <v>-1.6237051651661467E-2</v>
      </c>
      <c r="K5" s="38">
        <f t="shared" si="10"/>
        <v>-2.2154005212124978E-2</v>
      </c>
      <c r="L5" s="38">
        <f t="shared" si="10"/>
        <v>-5.9440415688222573E-3</v>
      </c>
      <c r="N5" s="39"/>
      <c r="R5" s="45" t="s">
        <v>3253</v>
      </c>
      <c r="S5" s="46">
        <v>53</v>
      </c>
      <c r="T5" s="45"/>
      <c r="U5" s="45" t="s">
        <v>3253</v>
      </c>
      <c r="V5" s="46">
        <v>53</v>
      </c>
    </row>
    <row r="6" spans="1:23">
      <c r="A6" s="9" t="s">
        <v>25</v>
      </c>
      <c r="B6" s="40">
        <v>27.94</v>
      </c>
      <c r="C6" s="7">
        <v>133.27000000000001</v>
      </c>
      <c r="D6" s="41">
        <v>6876</v>
      </c>
      <c r="F6" s="38">
        <f t="shared" ref="F6:H6" si="11">(B6-B7)/B7</f>
        <v>3.5581912527798402E-2</v>
      </c>
      <c r="G6" s="38">
        <f t="shared" si="11"/>
        <v>-1.7110406372151287E-2</v>
      </c>
      <c r="H6" s="38">
        <f t="shared" si="11"/>
        <v>7.5094325799479836E-3</v>
      </c>
      <c r="J6" s="38">
        <f t="shared" ref="J6:L6" si="12">LN(B6/B7)</f>
        <v>3.4963503049205868E-2</v>
      </c>
      <c r="K6" s="38">
        <f t="shared" si="12"/>
        <v>-1.7258480882582201E-2</v>
      </c>
      <c r="L6" s="38">
        <f t="shared" si="12"/>
        <v>7.4813771571056922E-3</v>
      </c>
      <c r="N6" s="42" t="s">
        <v>3254</v>
      </c>
      <c r="O6" s="38">
        <f t="shared" ref="O6:P6" si="13">PERCENTILE(J:J,0.75)</f>
        <v>1.8535369118162226E-2</v>
      </c>
      <c r="P6" s="38">
        <f t="shared" si="13"/>
        <v>1.6392263177485156E-2</v>
      </c>
      <c r="R6" s="45" t="s">
        <v>3255</v>
      </c>
      <c r="S6" s="47">
        <v>4.2599999999999999E-2</v>
      </c>
      <c r="T6" s="45"/>
      <c r="U6" s="45" t="s">
        <v>3255</v>
      </c>
      <c r="V6" s="46">
        <v>5.2310445999999997E-2</v>
      </c>
    </row>
    <row r="7" spans="1:23">
      <c r="A7" s="9" t="s">
        <v>30</v>
      </c>
      <c r="B7" s="40">
        <v>26.98</v>
      </c>
      <c r="C7" s="7">
        <v>135.59</v>
      </c>
      <c r="D7" s="41">
        <v>6824.75</v>
      </c>
      <c r="F7" s="38">
        <f t="shared" ref="F7:H7" si="14">(B7-B8)/B8</f>
        <v>-1.4249177932042402E-2</v>
      </c>
      <c r="G7" s="38">
        <f t="shared" si="14"/>
        <v>-4.8891694725028051E-2</v>
      </c>
      <c r="H7" s="38">
        <f t="shared" si="14"/>
        <v>-9.2185968860015247E-3</v>
      </c>
      <c r="J7" s="38">
        <f t="shared" ref="J7:L7" si="15">LN(B7/B8)</f>
        <v>-1.4351672272977893E-2</v>
      </c>
      <c r="K7" s="38">
        <f t="shared" si="15"/>
        <v>-5.0127337248281389E-2</v>
      </c>
      <c r="L7" s="38">
        <f t="shared" si="15"/>
        <v>-9.2613511090919223E-3</v>
      </c>
      <c r="N7" s="42" t="s">
        <v>3256</v>
      </c>
      <c r="O7" s="38">
        <f t="shared" ref="O7:P7" si="16">PERCENTILE(J:J,0.25)</f>
        <v>-1.9017882531641023E-2</v>
      </c>
      <c r="P7" s="38">
        <f t="shared" si="16"/>
        <v>-1.596514742885435E-2</v>
      </c>
      <c r="R7" s="45" t="s">
        <v>3257</v>
      </c>
      <c r="S7" s="47">
        <v>2.0799999999999999E-2</v>
      </c>
      <c r="T7" s="45"/>
      <c r="U7" s="45" t="s">
        <v>3257</v>
      </c>
      <c r="V7" s="46">
        <v>2.0801257E-2</v>
      </c>
    </row>
    <row r="8" spans="1:23">
      <c r="A8" s="9" t="s">
        <v>35</v>
      </c>
      <c r="B8" s="40">
        <v>27.37</v>
      </c>
      <c r="C8" s="7">
        <v>142.56</v>
      </c>
      <c r="D8" s="41">
        <v>6888.25</v>
      </c>
      <c r="F8" s="38">
        <f t="shared" ref="F8:H8" si="17">(B8-B9)/B9</f>
        <v>-0.99940760140253659</v>
      </c>
      <c r="G8" s="38">
        <f t="shared" si="17"/>
        <v>-1.075567274998273E-2</v>
      </c>
      <c r="H8" s="38">
        <f t="shared" si="17"/>
        <v>-1.0886921178690666E-4</v>
      </c>
      <c r="J8" s="38">
        <f t="shared" ref="J8:L8" si="18">LN(B8/B9)</f>
        <v>-7.4313308431235461</v>
      </c>
      <c r="K8" s="38">
        <f t="shared" si="18"/>
        <v>-1.0813933127771071E-2</v>
      </c>
      <c r="L8" s="38">
        <f t="shared" si="18"/>
        <v>-1.0887513846967422E-4</v>
      </c>
      <c r="N8" s="42" t="s">
        <v>3258</v>
      </c>
      <c r="O8" s="38">
        <f t="shared" ref="O8:P8" si="19">O6-O7</f>
        <v>3.7553251649803249E-2</v>
      </c>
      <c r="P8" s="38">
        <f t="shared" si="19"/>
        <v>3.2357410606339509E-2</v>
      </c>
      <c r="R8" s="45" t="s">
        <v>3259</v>
      </c>
      <c r="S8" s="46">
        <v>0.05</v>
      </c>
      <c r="T8" s="45"/>
      <c r="U8" s="45" t="s">
        <v>3259</v>
      </c>
      <c r="V8" s="46">
        <v>0.05</v>
      </c>
    </row>
    <row r="9" spans="1:23">
      <c r="A9" s="9" t="s">
        <v>37</v>
      </c>
      <c r="B9" s="7">
        <v>46202</v>
      </c>
      <c r="C9" s="7">
        <v>144.11000000000001</v>
      </c>
      <c r="D9" s="41">
        <v>6889</v>
      </c>
      <c r="F9" s="38">
        <f t="shared" ref="F9:H9" si="20">(B9-B10)/B10</f>
        <v>1529.8813783962889</v>
      </c>
      <c r="G9" s="38">
        <f t="shared" si="20"/>
        <v>-2.6612630867949998E-2</v>
      </c>
      <c r="H9" s="38">
        <f t="shared" si="20"/>
        <v>-4.479768786127168E-3</v>
      </c>
      <c r="J9" s="38">
        <f t="shared" ref="J9:L9" si="21">LN(B9/B10)</f>
        <v>7.3335989128364307</v>
      </c>
      <c r="K9" s="38">
        <f t="shared" si="21"/>
        <v>-2.6973157697330004E-2</v>
      </c>
      <c r="L9" s="38">
        <f t="shared" si="21"/>
        <v>-4.4898330185194494E-3</v>
      </c>
      <c r="N9" s="39"/>
      <c r="R9" s="45" t="s">
        <v>3260</v>
      </c>
      <c r="S9" s="46">
        <v>52</v>
      </c>
      <c r="T9" s="45"/>
      <c r="U9" s="45" t="s">
        <v>3260</v>
      </c>
      <c r="V9" s="46">
        <v>52</v>
      </c>
    </row>
    <row r="10" spans="1:23">
      <c r="A10" s="9" t="s">
        <v>41</v>
      </c>
      <c r="B10" s="40">
        <v>30.18</v>
      </c>
      <c r="C10" s="7">
        <v>148.05000000000001</v>
      </c>
      <c r="D10" s="41">
        <v>6920</v>
      </c>
      <c r="F10" s="38">
        <f t="shared" ref="F10:H10" si="22">(B10-B11)/B11</f>
        <v>1.6161616161616175E-2</v>
      </c>
      <c r="G10" s="38">
        <f t="shared" si="22"/>
        <v>-2.777777777777771E-2</v>
      </c>
      <c r="H10" s="38">
        <f t="shared" si="22"/>
        <v>-5.7114120478465461E-3</v>
      </c>
      <c r="J10" s="38">
        <f t="shared" ref="J10:L10" si="23">LN(B10/B11)</f>
        <v>1.6032407531049009E-2</v>
      </c>
      <c r="K10" s="38">
        <f t="shared" si="23"/>
        <v>-2.8170876966696221E-2</v>
      </c>
      <c r="L10" s="38">
        <f t="shared" si="23"/>
        <v>-5.7277845313980476E-3</v>
      </c>
      <c r="N10" s="48" t="s">
        <v>3261</v>
      </c>
      <c r="O10" s="38">
        <f t="shared" ref="O10:P10" si="24">AVERAGE(J:J)</f>
        <v>-8.2506611845638376E-4</v>
      </c>
      <c r="P10" s="38">
        <f t="shared" si="24"/>
        <v>2.4480344960784377E-4</v>
      </c>
      <c r="R10" s="45" t="s">
        <v>3262</v>
      </c>
      <c r="S10" s="47">
        <v>1.8E-3</v>
      </c>
      <c r="T10" s="45"/>
      <c r="U10" s="45" t="s">
        <v>3262</v>
      </c>
      <c r="V10" s="46">
        <v>2.7363829999999998E-3</v>
      </c>
    </row>
    <row r="11" spans="1:23">
      <c r="A11" s="9" t="s">
        <v>46</v>
      </c>
      <c r="B11" s="40">
        <v>29.7</v>
      </c>
      <c r="C11" s="7">
        <v>152.28</v>
      </c>
      <c r="D11" s="41">
        <v>6959.75</v>
      </c>
      <c r="F11" s="38">
        <f t="shared" ref="F11:H11" si="25">(B11-B12)/B12</f>
        <v>-3.3517735112268181E-2</v>
      </c>
      <c r="G11" s="38">
        <f t="shared" si="25"/>
        <v>-5.4209391940435794E-3</v>
      </c>
      <c r="H11" s="38">
        <f t="shared" si="25"/>
        <v>8.1115335868187574E-3</v>
      </c>
      <c r="J11" s="38">
        <f t="shared" ref="J11:L11" si="26">LN(B11/B12)</f>
        <v>-3.4092330333739401E-2</v>
      </c>
      <c r="K11" s="38">
        <f t="shared" si="26"/>
        <v>-5.4356858027072947E-3</v>
      </c>
      <c r="L11" s="38">
        <f t="shared" si="26"/>
        <v>8.0788119277159596E-3</v>
      </c>
      <c r="N11" s="48" t="s">
        <v>3263</v>
      </c>
      <c r="O11" s="38">
        <f t="shared" ref="O11:P11" si="27">AVEDEV(J:J)*J251/J250</f>
        <v>1.1355661822753893</v>
      </c>
      <c r="P11" s="38">
        <f t="shared" si="27"/>
        <v>-3.2548938827232303E-2</v>
      </c>
      <c r="R11" s="45" t="s">
        <v>3264</v>
      </c>
      <c r="S11" s="47">
        <v>4.0000000000000002E-4</v>
      </c>
      <c r="T11" s="45"/>
      <c r="U11" s="45" t="s">
        <v>3264</v>
      </c>
      <c r="V11" s="46">
        <v>4.3269199999999998E-4</v>
      </c>
    </row>
    <row r="12" spans="1:23">
      <c r="A12" s="9" t="s">
        <v>50</v>
      </c>
      <c r="B12" s="40">
        <v>30.73</v>
      </c>
      <c r="C12" s="7">
        <v>153.11000000000001</v>
      </c>
      <c r="D12" s="41">
        <v>6903.75</v>
      </c>
      <c r="F12" s="38">
        <f t="shared" ref="F12:H12" si="28">(B12-B13)/B13</f>
        <v>5.8919803600654573E-3</v>
      </c>
      <c r="G12" s="38">
        <f t="shared" si="28"/>
        <v>2.1599685822752488E-3</v>
      </c>
      <c r="H12" s="38">
        <f t="shared" si="28"/>
        <v>7.6260672845362325E-3</v>
      </c>
      <c r="J12" s="38">
        <f t="shared" ref="J12:L12" si="29">LN(B12/B13)</f>
        <v>5.874690524788932E-3</v>
      </c>
      <c r="K12" s="38">
        <f t="shared" si="29"/>
        <v>2.157639203790254E-3</v>
      </c>
      <c r="L12" s="38">
        <f t="shared" si="29"/>
        <v>7.5971358291417037E-3</v>
      </c>
      <c r="N12" s="48" t="s">
        <v>3265</v>
      </c>
      <c r="O12" s="38">
        <f t="shared" ref="O12:P12" si="30">_xlfn.VAR.S(J:J)</f>
        <v>5.197098124474282</v>
      </c>
      <c r="P12" s="38">
        <f t="shared" si="30"/>
        <v>8.3216302463424681E-4</v>
      </c>
      <c r="R12" s="45" t="s">
        <v>3266</v>
      </c>
      <c r="S12" s="46">
        <v>218.46698570000001</v>
      </c>
      <c r="T12" s="45" t="s">
        <v>3267</v>
      </c>
      <c r="U12" s="45" t="s">
        <v>3266</v>
      </c>
      <c r="V12" s="46">
        <v>328.85239630000001</v>
      </c>
    </row>
    <row r="13" spans="1:23">
      <c r="A13" s="9" t="s">
        <v>54</v>
      </c>
      <c r="B13" s="40">
        <v>30.55</v>
      </c>
      <c r="C13" s="7">
        <v>152.78</v>
      </c>
      <c r="D13" s="41">
        <v>6851.5</v>
      </c>
      <c r="F13" s="38">
        <f t="shared" ref="F13:H13" si="31">(B13-B14)/B14</f>
        <v>-3.4144799241226632E-2</v>
      </c>
      <c r="G13" s="38">
        <f t="shared" si="31"/>
        <v>-1.0812560699255342E-2</v>
      </c>
      <c r="H13" s="38">
        <f t="shared" si="31"/>
        <v>-1.0363629798143936E-2</v>
      </c>
      <c r="J13" s="38">
        <f t="shared" ref="J13:L13" si="32">LN(B13/B14)</f>
        <v>-3.4741351699953057E-2</v>
      </c>
      <c r="K13" s="38">
        <f t="shared" si="32"/>
        <v>-1.0871441251376939E-2</v>
      </c>
      <c r="L13" s="38">
        <f t="shared" si="32"/>
        <v>-1.0417706152114974E-2</v>
      </c>
      <c r="N13" s="48" t="s">
        <v>3268</v>
      </c>
      <c r="O13" s="38">
        <f t="shared" ref="O13:P13" si="33">_xlfn.STDEV.S(J:J)</f>
        <v>2.2797144831040317</v>
      </c>
      <c r="P13" s="38">
        <f t="shared" si="33"/>
        <v>2.8847235996439013E-2</v>
      </c>
      <c r="R13" s="45" t="s">
        <v>3269</v>
      </c>
      <c r="S13" s="46">
        <v>0</v>
      </c>
      <c r="T13" s="45"/>
      <c r="U13" s="45" t="s">
        <v>3269</v>
      </c>
      <c r="V13" s="46">
        <v>0</v>
      </c>
    </row>
    <row r="14" spans="1:23">
      <c r="A14" s="9" t="s">
        <v>59</v>
      </c>
      <c r="B14" s="7">
        <v>31.63</v>
      </c>
      <c r="C14" s="7">
        <v>154.44999999999999</v>
      </c>
      <c r="D14" s="41">
        <v>6923.25</v>
      </c>
      <c r="F14" s="38">
        <f t="shared" ref="F14:H14" si="34">(B14-B15)/B15</f>
        <v>7.3248407643312242E-3</v>
      </c>
      <c r="G14" s="38">
        <f t="shared" si="34"/>
        <v>1.1667855059310196E-3</v>
      </c>
      <c r="H14" s="38">
        <f t="shared" si="34"/>
        <v>6.7253162716300711E-3</v>
      </c>
      <c r="J14" s="38">
        <f t="shared" ref="J14:L14" si="35">LN(B14/B15)</f>
        <v>7.2981444033497333E-3</v>
      </c>
      <c r="K14" s="38">
        <f t="shared" si="35"/>
        <v>1.166105340742387E-3</v>
      </c>
      <c r="L14" s="38">
        <f t="shared" si="35"/>
        <v>6.7028022185344907E-3</v>
      </c>
      <c r="R14" s="45"/>
      <c r="S14" s="45"/>
      <c r="T14" s="45"/>
      <c r="U14" s="45"/>
      <c r="V14" s="45"/>
    </row>
    <row r="15" spans="1:23">
      <c r="A15" s="9" t="s">
        <v>63</v>
      </c>
      <c r="B15" s="7">
        <v>31.4</v>
      </c>
      <c r="C15" s="7">
        <v>154.27000000000001</v>
      </c>
      <c r="D15" s="41">
        <v>6877</v>
      </c>
      <c r="F15" s="38">
        <f t="shared" ref="F15:H15" si="36">(B15-B16)/B16</f>
        <v>-1.4128728414442789E-2</v>
      </c>
      <c r="G15" s="38">
        <f t="shared" si="36"/>
        <v>-9.6295820761378957E-3</v>
      </c>
      <c r="H15" s="38">
        <f t="shared" si="36"/>
        <v>-2.5020850708924102E-3</v>
      </c>
      <c r="J15" s="38">
        <f t="shared" ref="J15:L15" si="37">LN(B15/B16)</f>
        <v>-1.4229489103964764E-2</v>
      </c>
      <c r="K15" s="38">
        <f t="shared" si="37"/>
        <v>-9.6762463146663081E-3</v>
      </c>
      <c r="L15" s="38">
        <f t="shared" si="37"/>
        <v>-2.5052205169372342E-3</v>
      </c>
      <c r="N15" s="45" t="s">
        <v>3270</v>
      </c>
      <c r="O15" s="38">
        <f t="shared" ref="O15:P15" si="38">O13/O10</f>
        <v>-2763.0688403120344</v>
      </c>
      <c r="P15" s="38">
        <f t="shared" si="38"/>
        <v>117.83835580197116</v>
      </c>
      <c r="R15" s="45"/>
      <c r="S15" s="45"/>
      <c r="T15" s="45"/>
    </row>
    <row r="16" spans="1:23">
      <c r="A16" s="9" t="s">
        <v>68</v>
      </c>
      <c r="B16" s="7">
        <v>31.85</v>
      </c>
      <c r="C16" s="7">
        <v>155.77000000000001</v>
      </c>
      <c r="D16" s="41">
        <v>6894.25</v>
      </c>
      <c r="F16" s="38">
        <f t="shared" ref="F16:H16" si="39">(B16-B17)/B17</f>
        <v>1.0469543147208181E-2</v>
      </c>
      <c r="G16" s="38">
        <f t="shared" si="39"/>
        <v>2.1874798944862858E-3</v>
      </c>
      <c r="H16" s="38">
        <f t="shared" si="39"/>
        <v>4.9194665111872314E-3</v>
      </c>
      <c r="J16" s="38">
        <f t="shared" ref="J16:L16" si="40">LN(B16/B17)</f>
        <v>1.0415117028494014E-2</v>
      </c>
      <c r="K16" s="38">
        <f t="shared" si="40"/>
        <v>2.185090843707924E-3</v>
      </c>
      <c r="L16" s="38">
        <f t="shared" si="40"/>
        <v>4.9074054755433279E-3</v>
      </c>
      <c r="N16" s="45"/>
      <c r="R16" s="45" t="s">
        <v>3271</v>
      </c>
      <c r="S16" s="45"/>
      <c r="T16" s="45"/>
      <c r="U16" s="45" t="s">
        <v>3271</v>
      </c>
      <c r="V16" s="45"/>
      <c r="W16" s="38" t="s">
        <v>3272</v>
      </c>
    </row>
    <row r="17" spans="1:25">
      <c r="A17" s="9" t="s">
        <v>73</v>
      </c>
      <c r="B17" s="7">
        <v>31.52</v>
      </c>
      <c r="C17" s="7">
        <v>155.43</v>
      </c>
      <c r="D17" s="41">
        <v>6860.5</v>
      </c>
      <c r="F17" s="38">
        <f t="shared" ref="F17:H17" si="41">(B17-B18)/B18</f>
        <v>0</v>
      </c>
      <c r="G17" s="38">
        <f t="shared" si="41"/>
        <v>-1.9264110961278043E-3</v>
      </c>
      <c r="H17" s="38">
        <f t="shared" si="41"/>
        <v>1.4597474636887818E-3</v>
      </c>
      <c r="J17" s="38">
        <f t="shared" ref="J17:L17" si="42">LN(B17/B18)</f>
        <v>0</v>
      </c>
      <c r="K17" s="38">
        <f t="shared" si="42"/>
        <v>-1.9282690124406057E-3</v>
      </c>
      <c r="L17" s="38">
        <f t="shared" si="42"/>
        <v>1.4586830680665813E-3</v>
      </c>
      <c r="N17" s="45" t="s">
        <v>3273</v>
      </c>
      <c r="O17" s="38">
        <f t="shared" ref="O17:P17" si="43">(O3-O10)/O13</f>
        <v>-3.2706617437379166</v>
      </c>
      <c r="P17" s="38">
        <f t="shared" si="43"/>
        <v>-3.6190782722170662</v>
      </c>
      <c r="R17" s="53" t="s">
        <v>3274</v>
      </c>
      <c r="S17" s="54"/>
      <c r="T17" s="45"/>
      <c r="U17" s="53" t="s">
        <v>3274</v>
      </c>
      <c r="V17" s="54"/>
      <c r="W17" s="38" t="s">
        <v>3275</v>
      </c>
    </row>
    <row r="18" spans="1:25">
      <c r="A18" s="9" t="s">
        <v>78</v>
      </c>
      <c r="B18" s="7">
        <v>31.52</v>
      </c>
      <c r="C18" s="7">
        <v>155.72999999999999</v>
      </c>
      <c r="D18" s="41">
        <v>6850.5</v>
      </c>
      <c r="F18" s="38">
        <f t="shared" ref="F18:H18" si="44">(B18-B19)/B19</f>
        <v>3.2089063523248217E-2</v>
      </c>
      <c r="G18" s="38">
        <f t="shared" si="44"/>
        <v>-1.8900018900018901E-2</v>
      </c>
      <c r="H18" s="38">
        <f t="shared" si="44"/>
        <v>-7.2982046416581516E-5</v>
      </c>
      <c r="J18" s="38">
        <f t="shared" ref="J18:L18" si="45">LN(B18/B19)</f>
        <v>3.1584965199192051E-2</v>
      </c>
      <c r="K18" s="38">
        <f t="shared" si="45"/>
        <v>-1.9080907076902711E-2</v>
      </c>
      <c r="L18" s="38">
        <f t="shared" si="45"/>
        <v>-7.2984709735725355E-5</v>
      </c>
      <c r="N18" s="45" t="s">
        <v>3276</v>
      </c>
      <c r="O18" s="38">
        <f t="shared" ref="O18:P18" si="46">(O2-O10)/O13</f>
        <v>3.2734059443683683</v>
      </c>
      <c r="P18" s="38">
        <f t="shared" si="46"/>
        <v>4.198946515093696</v>
      </c>
    </row>
    <row r="19" spans="1:25">
      <c r="A19" s="9" t="s">
        <v>81</v>
      </c>
      <c r="B19" s="7">
        <v>30.54</v>
      </c>
      <c r="C19" s="7">
        <v>158.72999999999999</v>
      </c>
      <c r="D19" s="41">
        <v>6851</v>
      </c>
      <c r="F19" s="38">
        <f t="shared" ref="F19:H19" si="47">(B19-B20)/B20</f>
        <v>-2.7388535031847117E-2</v>
      </c>
      <c r="G19" s="38">
        <f t="shared" si="47"/>
        <v>-3.4018987341772174E-2</v>
      </c>
      <c r="H19" s="38">
        <f t="shared" si="47"/>
        <v>-1.573162847496588E-2</v>
      </c>
      <c r="J19" s="38">
        <f t="shared" ref="J19:L19" si="48">LN(B19/B20)</f>
        <v>-2.77705931237213E-2</v>
      </c>
      <c r="K19" s="38">
        <f t="shared" si="48"/>
        <v>-3.4611100596098128E-2</v>
      </c>
      <c r="L19" s="38">
        <f t="shared" si="48"/>
        <v>-1.5856683825722893E-2</v>
      </c>
      <c r="N19" s="45"/>
    </row>
    <row r="20" spans="1:25">
      <c r="A20" s="9" t="s">
        <v>86</v>
      </c>
      <c r="B20" s="7">
        <v>31.4</v>
      </c>
      <c r="C20" s="7">
        <v>164.32</v>
      </c>
      <c r="D20" s="41">
        <v>6960.5</v>
      </c>
      <c r="F20" s="38">
        <f t="shared" ref="F20:H20" si="49">(B20-B21)/B21</f>
        <v>-0.99932130119961093</v>
      </c>
      <c r="G20" s="38">
        <f t="shared" si="49"/>
        <v>-1.315236322142813E-2</v>
      </c>
      <c r="H20" s="38">
        <f t="shared" si="49"/>
        <v>-1.4364720247073189E-4</v>
      </c>
      <c r="J20" s="38">
        <f t="shared" ref="J20:L20" si="50">LN(B20/B21)</f>
        <v>-7.2953331217689232</v>
      </c>
      <c r="K20" s="38">
        <f t="shared" si="50"/>
        <v>-1.3239621496777239E-2</v>
      </c>
      <c r="L20" s="38">
        <f t="shared" si="50"/>
        <v>-1.4365752071825698E-4</v>
      </c>
      <c r="N20" s="42" t="s">
        <v>3277</v>
      </c>
      <c r="O20" s="38">
        <f>_xlfn.COVARIANCE.S(J:J,K:K)</f>
        <v>-3.2959350753127693E-3</v>
      </c>
      <c r="W20" s="38" t="s">
        <v>3278</v>
      </c>
    </row>
    <row r="21" spans="1:25">
      <c r="A21" s="9" t="s">
        <v>90</v>
      </c>
      <c r="B21" s="7">
        <v>46265</v>
      </c>
      <c r="C21" s="7">
        <v>166.51</v>
      </c>
      <c r="D21" s="41">
        <v>6961.5</v>
      </c>
      <c r="F21" s="38">
        <f t="shared" ref="F21:H21" si="51">(B21-B22)/B22</f>
        <v>1471.4697644812222</v>
      </c>
      <c r="G21" s="38">
        <f t="shared" si="51"/>
        <v>2.1533742331288287E-2</v>
      </c>
      <c r="H21" s="38">
        <f t="shared" si="51"/>
        <v>-3.1145956395661045E-3</v>
      </c>
      <c r="J21" s="38">
        <f t="shared" ref="J21:L21" si="52">LN(B21/B22)</f>
        <v>7.2946963818556556</v>
      </c>
      <c r="K21" s="38">
        <f t="shared" si="52"/>
        <v>2.1305166870262949E-2</v>
      </c>
      <c r="L21" s="38">
        <f t="shared" si="52"/>
        <v>-3.1194560874086299E-3</v>
      </c>
      <c r="N21" s="42" t="s">
        <v>3279</v>
      </c>
      <c r="O21" s="38">
        <f>CORREL(J:J,K:K)</f>
        <v>-5.011802892034857E-2</v>
      </c>
    </row>
    <row r="22" spans="1:25">
      <c r="A22" s="9" t="s">
        <v>94</v>
      </c>
      <c r="B22" s="7">
        <v>31.42</v>
      </c>
      <c r="C22" s="7">
        <v>163</v>
      </c>
      <c r="D22" s="41">
        <v>6983.25</v>
      </c>
      <c r="F22" s="38">
        <f t="shared" ref="F22:H22" si="53">(B22-B23)/B23</f>
        <v>5.7618437900129093E-3</v>
      </c>
      <c r="G22" s="38">
        <f t="shared" si="53"/>
        <v>3.0151990646729993E-3</v>
      </c>
      <c r="H22" s="38">
        <f t="shared" si="53"/>
        <v>4.3867534428823126E-3</v>
      </c>
      <c r="J22" s="38">
        <f t="shared" ref="J22:L22" si="54">LN(B22/B23)</f>
        <v>5.745307855989955E-3</v>
      </c>
      <c r="K22" s="38">
        <f t="shared" si="54"/>
        <v>3.010662468845157E-3</v>
      </c>
      <c r="L22" s="38">
        <f t="shared" si="54"/>
        <v>4.3771596867272309E-3</v>
      </c>
      <c r="N22" s="42" t="s">
        <v>3280</v>
      </c>
      <c r="O22" s="38">
        <f>O21^2</f>
        <v>2.5118168228608958E-3</v>
      </c>
    </row>
    <row r="23" spans="1:25">
      <c r="A23" s="9" t="s">
        <v>98</v>
      </c>
      <c r="B23" s="7">
        <v>31.24</v>
      </c>
      <c r="C23" s="7">
        <v>162.51</v>
      </c>
      <c r="D23" s="41">
        <v>6952.75</v>
      </c>
      <c r="F23" s="38">
        <f t="shared" ref="F23:H23" si="55">(B23-B24)/B24</f>
        <v>1.7258222077499108E-2</v>
      </c>
      <c r="G23" s="38">
        <f t="shared" si="55"/>
        <v>3.010902636916836E-2</v>
      </c>
      <c r="H23" s="38">
        <f t="shared" si="55"/>
        <v>1.935271047905289E-2</v>
      </c>
      <c r="J23" s="38">
        <f t="shared" ref="J23:L23" si="56">LN(B23/B24)</f>
        <v>1.7110990518754084E-2</v>
      </c>
      <c r="K23" s="38">
        <f t="shared" si="56"/>
        <v>2.9664647483591895E-2</v>
      </c>
      <c r="L23" s="38">
        <f t="shared" si="56"/>
        <v>1.9167828284358458E-2</v>
      </c>
    </row>
    <row r="24" spans="1:25">
      <c r="A24" s="9" t="s">
        <v>102</v>
      </c>
      <c r="B24" s="7">
        <v>30.71</v>
      </c>
      <c r="C24" s="7">
        <v>157.76</v>
      </c>
      <c r="D24" s="41">
        <v>6820.75</v>
      </c>
      <c r="F24" s="38">
        <f t="shared" ref="F24:H24" si="57">(B24-B25)/B25</f>
        <v>-0.11268419531927185</v>
      </c>
      <c r="G24" s="38">
        <f t="shared" si="57"/>
        <v>-8.6716099032298332E-3</v>
      </c>
      <c r="H24" s="38">
        <f t="shared" si="57"/>
        <v>-1.2380090497737556E-2</v>
      </c>
      <c r="J24" s="38">
        <f t="shared" ref="J24:L24" si="58">LN(B24/B25)</f>
        <v>-0.11955432319452187</v>
      </c>
      <c r="K24" s="38">
        <f t="shared" si="58"/>
        <v>-8.709427095063416E-3</v>
      </c>
      <c r="L24" s="38">
        <f t="shared" si="58"/>
        <v>-1.245736223450011E-2</v>
      </c>
      <c r="N24" s="45" t="s">
        <v>3281</v>
      </c>
      <c r="O24" s="38">
        <f>3.96/52</f>
        <v>7.6153846153846155E-2</v>
      </c>
      <c r="W24" s="49" t="s">
        <v>3282</v>
      </c>
      <c r="X24" s="45"/>
      <c r="Y24" s="45"/>
    </row>
    <row r="25" spans="1:25">
      <c r="A25" s="9" t="s">
        <v>106</v>
      </c>
      <c r="B25" s="7">
        <v>34.61</v>
      </c>
      <c r="C25" s="7">
        <v>159.13999999999999</v>
      </c>
      <c r="D25" s="41">
        <v>6906.25</v>
      </c>
      <c r="F25" s="38">
        <f t="shared" ref="F25:H25" si="59">(B25-B26)/B26</f>
        <v>1.6446402349486119E-2</v>
      </c>
      <c r="G25" s="38">
        <f t="shared" si="59"/>
        <v>-2.7558814543232626E-2</v>
      </c>
      <c r="H25" s="38">
        <f t="shared" si="59"/>
        <v>-5.1139842258796416E-3</v>
      </c>
      <c r="J25" s="38">
        <f t="shared" ref="J25:L25" si="60">LN(B25/B26)</f>
        <v>1.6312625051731592E-2</v>
      </c>
      <c r="K25" s="38">
        <f t="shared" si="60"/>
        <v>-2.7945682997800852E-2</v>
      </c>
      <c r="L25" s="38">
        <f t="shared" si="60"/>
        <v>-5.1271053966341048E-3</v>
      </c>
      <c r="N25" s="45" t="s">
        <v>3283</v>
      </c>
      <c r="O25" s="38">
        <f>(O10-O24)/O13</f>
        <v>-3.376690934010692E-2</v>
      </c>
      <c r="P25" s="38">
        <f>(P10-O24)/P13</f>
        <v>-2.6314147640907</v>
      </c>
      <c r="W25" s="49" t="s">
        <v>3284</v>
      </c>
      <c r="X25" s="45"/>
      <c r="Y25" s="45"/>
    </row>
    <row r="26" spans="1:25">
      <c r="A26" s="9" t="s">
        <v>111</v>
      </c>
      <c r="B26" s="7">
        <v>34.049999999999997</v>
      </c>
      <c r="C26" s="7">
        <v>163.65</v>
      </c>
      <c r="D26" s="41">
        <v>6941.75</v>
      </c>
      <c r="F26" s="38">
        <f t="shared" ref="F26:H26" si="61">(B26-B27)/B27</f>
        <v>3.7161133109960366E-2</v>
      </c>
      <c r="G26" s="38">
        <f t="shared" si="61"/>
        <v>-2.8148939960805162E-2</v>
      </c>
      <c r="H26" s="38">
        <f t="shared" si="61"/>
        <v>-8.6754730453409493E-3</v>
      </c>
      <c r="J26" s="38">
        <f t="shared" ref="J26:L26" si="62">LN(B26/B27)</f>
        <v>3.6487301082020057E-2</v>
      </c>
      <c r="K26" s="38">
        <f t="shared" si="62"/>
        <v>-2.8552716675027977E-2</v>
      </c>
      <c r="L26" s="38">
        <f t="shared" si="62"/>
        <v>-8.7133240374661792E-3</v>
      </c>
      <c r="W26" s="45" t="s">
        <v>3285</v>
      </c>
      <c r="X26" s="46">
        <v>4.2636E-2</v>
      </c>
      <c r="Y26" s="45"/>
    </row>
    <row r="27" spans="1:25">
      <c r="A27" s="9" t="s">
        <v>115</v>
      </c>
      <c r="B27" s="7">
        <v>32.83</v>
      </c>
      <c r="C27" s="7">
        <v>168.39</v>
      </c>
      <c r="D27" s="41">
        <v>7002.5</v>
      </c>
      <c r="F27" s="38">
        <f t="shared" ref="F27:H27" si="63">(B27-B28)/B28</f>
        <v>1.0153846153846102E-2</v>
      </c>
      <c r="G27" s="38">
        <f t="shared" si="63"/>
        <v>-6.900212314225147E-3</v>
      </c>
      <c r="H27" s="38">
        <f t="shared" si="63"/>
        <v>5.2758138032516239E-3</v>
      </c>
      <c r="J27" s="38">
        <f t="shared" ref="J27:L27" si="64">LN(B27/B28)</f>
        <v>1.0102642177809526E-2</v>
      </c>
      <c r="K27" s="38">
        <f t="shared" si="64"/>
        <v>-6.9241288622188066E-3</v>
      </c>
      <c r="L27" s="38">
        <f t="shared" si="64"/>
        <v>5.2619454541084137E-3</v>
      </c>
      <c r="W27" s="45" t="s">
        <v>3286</v>
      </c>
      <c r="X27" s="46">
        <v>5.2781000000000002E-2</v>
      </c>
      <c r="Y27" s="45"/>
    </row>
    <row r="28" spans="1:25">
      <c r="A28" s="9" t="s">
        <v>119</v>
      </c>
      <c r="B28" s="7">
        <v>32.5</v>
      </c>
      <c r="C28" s="7">
        <v>169.56</v>
      </c>
      <c r="D28" s="41">
        <v>6965.75</v>
      </c>
      <c r="F28" s="38">
        <f t="shared" ref="F28:H28" si="65">(B28-B29)/B29</f>
        <v>8.3772882407695676E-3</v>
      </c>
      <c r="G28" s="38">
        <f t="shared" si="65"/>
        <v>-2.6915351506456228E-2</v>
      </c>
      <c r="H28" s="38">
        <f t="shared" si="65"/>
        <v>-3.8611418969647137E-3</v>
      </c>
      <c r="J28" s="38">
        <f t="shared" ref="J28:L28" si="66">LN(B28/B29)</f>
        <v>8.3423935083454023E-3</v>
      </c>
      <c r="K28" s="38">
        <f t="shared" si="66"/>
        <v>-2.7284203156196826E-2</v>
      </c>
      <c r="L28" s="38">
        <f t="shared" si="66"/>
        <v>-3.8686153489139066E-3</v>
      </c>
      <c r="W28" s="45" t="s">
        <v>3287</v>
      </c>
      <c r="X28" s="46">
        <v>53</v>
      </c>
      <c r="Y28" s="45"/>
    </row>
    <row r="29" spans="1:25">
      <c r="A29" s="9" t="s">
        <v>123</v>
      </c>
      <c r="B29" s="7">
        <v>32.229999999999997</v>
      </c>
      <c r="C29" s="7">
        <v>174.25</v>
      </c>
      <c r="D29" s="41">
        <v>6992.75</v>
      </c>
      <c r="F29" s="38">
        <f t="shared" ref="F29:H29" si="67">(B29-B30)/B30</f>
        <v>1.0978670012546985E-2</v>
      </c>
      <c r="G29" s="38">
        <f t="shared" si="67"/>
        <v>-8.0268700899464689E-3</v>
      </c>
      <c r="H29" s="38">
        <f t="shared" si="67"/>
        <v>-2.0692853829961826E-3</v>
      </c>
      <c r="J29" s="38">
        <f t="shared" ref="J29:L29" si="68">LN(B29/B30)</f>
        <v>1.0918841905332074E-2</v>
      </c>
      <c r="K29" s="38">
        <f t="shared" si="68"/>
        <v>-8.0592588483380991E-3</v>
      </c>
      <c r="L29" s="38">
        <f t="shared" si="68"/>
        <v>-2.0714293121057155E-3</v>
      </c>
      <c r="W29" s="45" t="s">
        <v>3288</v>
      </c>
      <c r="X29" s="46">
        <v>53</v>
      </c>
      <c r="Y29" s="45"/>
    </row>
    <row r="30" spans="1:25">
      <c r="A30" s="9" t="s">
        <v>126</v>
      </c>
      <c r="B30" s="7">
        <v>31.88</v>
      </c>
      <c r="C30" s="7">
        <v>175.66</v>
      </c>
      <c r="D30" s="41">
        <v>7007.25</v>
      </c>
      <c r="F30" s="38">
        <f t="shared" ref="F30:H30" si="69">(B30-B31)/B31</f>
        <v>-1.6352977476087556E-2</v>
      </c>
      <c r="G30" s="38">
        <f t="shared" si="69"/>
        <v>1.7021769337656308E-2</v>
      </c>
      <c r="H30" s="38">
        <f t="shared" si="69"/>
        <v>-1.7835485481914817E-4</v>
      </c>
      <c r="J30" s="38">
        <f t="shared" ref="J30:L30" si="70">LN(B30/B31)</f>
        <v>-1.648816323144164E-2</v>
      </c>
      <c r="K30" s="38">
        <f t="shared" si="70"/>
        <v>1.6878522282419307E-2</v>
      </c>
      <c r="L30" s="38">
        <f t="shared" si="70"/>
        <v>-1.7837076193765085E-4</v>
      </c>
      <c r="W30" s="45" t="s">
        <v>3289</v>
      </c>
      <c r="X30" s="46">
        <v>1.818E-3</v>
      </c>
      <c r="Y30" s="45"/>
    </row>
    <row r="31" spans="1:25">
      <c r="A31" s="9" t="s">
        <v>131</v>
      </c>
      <c r="B31" s="7">
        <v>32.409999999999997</v>
      </c>
      <c r="C31" s="7">
        <v>172.72</v>
      </c>
      <c r="D31" s="41">
        <v>7008.5</v>
      </c>
      <c r="F31" s="38">
        <f t="shared" ref="F31:H31" si="71">(B31-B32)/B32</f>
        <v>-1.6686893203883623E-2</v>
      </c>
      <c r="G31" s="38">
        <f t="shared" si="71"/>
        <v>7.8776915446110429E-3</v>
      </c>
      <c r="H31" s="38">
        <f t="shared" si="71"/>
        <v>3.9033124440465534E-3</v>
      </c>
      <c r="J31" s="38">
        <f t="shared" ref="J31:L31" si="72">LN(B31/B32)</f>
        <v>-1.6827687887815058E-2</v>
      </c>
      <c r="K31" s="38">
        <f t="shared" si="72"/>
        <v>7.8468245337940841E-3</v>
      </c>
      <c r="L31" s="38">
        <f t="shared" si="72"/>
        <v>3.8957142856016406E-3</v>
      </c>
      <c r="W31" s="45" t="s">
        <v>3290</v>
      </c>
      <c r="X31" s="46">
        <v>2.7859999999999998E-3</v>
      </c>
      <c r="Y31" s="45"/>
    </row>
    <row r="32" spans="1:25">
      <c r="A32" s="9" t="s">
        <v>135</v>
      </c>
      <c r="B32" s="7">
        <v>32.96</v>
      </c>
      <c r="C32" s="7">
        <v>171.37</v>
      </c>
      <c r="D32" s="41">
        <v>6981.25</v>
      </c>
      <c r="F32" s="38">
        <f t="shared" ref="F32:H32" si="73">(B32-B33)/B33</f>
        <v>5.1845074717902324E-3</v>
      </c>
      <c r="G32" s="38">
        <f t="shared" si="73"/>
        <v>-1.0737170236102206E-2</v>
      </c>
      <c r="H32" s="38">
        <f t="shared" si="73"/>
        <v>5.1110391246445668E-3</v>
      </c>
      <c r="J32" s="38">
        <f t="shared" ref="J32:L32" si="74">LN(B32/B33)</f>
        <v>5.1711141847141087E-3</v>
      </c>
      <c r="K32" s="38">
        <f t="shared" si="74"/>
        <v>-1.0795229618091647E-2</v>
      </c>
      <c r="L32" s="38">
        <f t="shared" si="74"/>
        <v>5.0980220990227108E-3</v>
      </c>
      <c r="W32" s="45" t="s">
        <v>3291</v>
      </c>
      <c r="X32" s="46">
        <v>52</v>
      </c>
      <c r="Y32" s="45"/>
    </row>
    <row r="33" spans="1:25">
      <c r="A33" s="9" t="s">
        <v>139</v>
      </c>
      <c r="B33" s="7">
        <v>32.79</v>
      </c>
      <c r="C33" s="7">
        <v>173.23</v>
      </c>
      <c r="D33" s="41">
        <v>6945.75</v>
      </c>
      <c r="F33" s="38">
        <f t="shared" ref="F33:H33" si="75">(B33-B34)/B34</f>
        <v>-3.6721504112808459E-2</v>
      </c>
      <c r="G33" s="38">
        <f t="shared" si="75"/>
        <v>-2.2293712608646668E-2</v>
      </c>
      <c r="H33" s="38">
        <f t="shared" si="75"/>
        <v>1.0799136069114471E-4</v>
      </c>
      <c r="J33" s="38">
        <f t="shared" ref="J33:L33" si="76">LN(B33/B34)</f>
        <v>-3.7412712848616546E-2</v>
      </c>
      <c r="K33" s="38">
        <f t="shared" si="76"/>
        <v>-2.2545973693036857E-2</v>
      </c>
      <c r="L33" s="38">
        <f t="shared" si="76"/>
        <v>1.0798553004395037E-4</v>
      </c>
      <c r="W33" s="45" t="s">
        <v>3292</v>
      </c>
      <c r="X33" s="46">
        <v>52</v>
      </c>
      <c r="Y33" s="45"/>
    </row>
    <row r="34" spans="1:25">
      <c r="A34" s="9" t="s">
        <v>144</v>
      </c>
      <c r="B34" s="7">
        <v>34.04</v>
      </c>
      <c r="C34" s="7">
        <v>177.18</v>
      </c>
      <c r="D34" s="41">
        <v>6945</v>
      </c>
      <c r="F34" s="38">
        <f t="shared" ref="F34:H34" si="77">(B34-B35)/B35</f>
        <v>1.0688836104513048E-2</v>
      </c>
      <c r="G34" s="38">
        <f t="shared" si="77"/>
        <v>5.045354834884698E-2</v>
      </c>
      <c r="H34" s="38">
        <f t="shared" si="77"/>
        <v>5.065123010130246E-3</v>
      </c>
      <c r="J34" s="38">
        <f t="shared" ref="J34:L34" si="78">LN(B34/B35)</f>
        <v>1.0632114331047333E-2</v>
      </c>
      <c r="K34" s="38">
        <f t="shared" si="78"/>
        <v>4.9222021713963317E-2</v>
      </c>
      <c r="L34" s="38">
        <f t="shared" si="78"/>
        <v>5.0523384267284928E-3</v>
      </c>
      <c r="W34" s="45" t="s">
        <v>3293</v>
      </c>
      <c r="X34" s="46">
        <v>0.652528</v>
      </c>
      <c r="Y34" s="45"/>
    </row>
    <row r="35" spans="1:25">
      <c r="A35" s="9" t="s">
        <v>149</v>
      </c>
      <c r="B35" s="7">
        <v>33.68</v>
      </c>
      <c r="C35" s="7">
        <v>168.67</v>
      </c>
      <c r="D35" s="41">
        <v>6910</v>
      </c>
      <c r="F35" s="38">
        <f t="shared" ref="F35:H35" si="79">(B35-B36)/B36</f>
        <v>4.7589424572317303E-2</v>
      </c>
      <c r="G35" s="38">
        <f t="shared" si="79"/>
        <v>3.8672332040150269E-2</v>
      </c>
      <c r="H35" s="38">
        <f t="shared" si="79"/>
        <v>1.1787100080532981E-2</v>
      </c>
      <c r="J35" s="38">
        <f t="shared" ref="J35:L35" si="80">LN(B35/B36)</f>
        <v>4.6491738690497719E-2</v>
      </c>
      <c r="K35" s="38">
        <f t="shared" si="80"/>
        <v>3.7943293792927019E-2</v>
      </c>
      <c r="L35" s="38">
        <f t="shared" si="80"/>
        <v>1.1718173318769096E-2</v>
      </c>
      <c r="W35" s="45" t="s">
        <v>3294</v>
      </c>
      <c r="X35" s="46">
        <v>1.5847048969999999</v>
      </c>
      <c r="Y35" s="45"/>
    </row>
    <row r="36" spans="1:25">
      <c r="A36" s="9" t="s">
        <v>154</v>
      </c>
      <c r="B36" s="7">
        <v>32.15</v>
      </c>
      <c r="C36" s="7">
        <v>162.38999999999999</v>
      </c>
      <c r="D36" s="41">
        <v>6829.5</v>
      </c>
      <c r="F36" s="38">
        <f t="shared" ref="F36:H36" si="81">(B36-B37)/B37</f>
        <v>-4.3154761904761987E-2</v>
      </c>
      <c r="G36" s="38">
        <f t="shared" si="81"/>
        <v>-1.8198307134220187E-2</v>
      </c>
      <c r="H36" s="38">
        <f t="shared" si="81"/>
        <v>-2.1105815745153546E-2</v>
      </c>
      <c r="J36" s="38">
        <f t="shared" ref="J36:L36" si="82">LN(B36/B37)</f>
        <v>-4.4113616285530226E-2</v>
      </c>
      <c r="K36" s="38">
        <f t="shared" si="82"/>
        <v>-1.8365933112594868E-2</v>
      </c>
      <c r="L36" s="38">
        <f t="shared" si="82"/>
        <v>-2.1331727834815364E-2</v>
      </c>
      <c r="W36" s="45" t="s">
        <v>3269</v>
      </c>
      <c r="X36" s="46">
        <v>0.93650800000000001</v>
      </c>
      <c r="Y36" s="45"/>
    </row>
    <row r="37" spans="1:25">
      <c r="A37" s="9" t="s">
        <v>159</v>
      </c>
      <c r="B37" s="7">
        <v>33.6</v>
      </c>
      <c r="C37" s="7">
        <v>165.4</v>
      </c>
      <c r="D37" s="41">
        <v>6976.75</v>
      </c>
      <c r="F37" s="38">
        <f t="shared" ref="F37:H37" si="83">(B37-B38)/B38</f>
        <v>-1.2925969447708512E-2</v>
      </c>
      <c r="G37" s="38">
        <f t="shared" si="83"/>
        <v>-3.2352424969285677E-2</v>
      </c>
      <c r="H37" s="38">
        <f t="shared" si="83"/>
        <v>-7.1615282701328463E-4</v>
      </c>
      <c r="J37" s="38">
        <f t="shared" ref="J37:L37" si="84">LN(B37/B38)</f>
        <v>-1.3010236736014775E-2</v>
      </c>
      <c r="K37" s="38">
        <f t="shared" si="84"/>
        <v>-3.2887333378585792E-2</v>
      </c>
      <c r="L37" s="38">
        <f t="shared" si="84"/>
        <v>-7.1640938694719715E-4</v>
      </c>
      <c r="W37" s="45" t="s">
        <v>3295</v>
      </c>
      <c r="X37" s="45" t="s">
        <v>3296</v>
      </c>
      <c r="Y37" s="45" t="s">
        <v>3297</v>
      </c>
    </row>
    <row r="38" spans="1:25">
      <c r="A38" s="9" t="s">
        <v>164</v>
      </c>
      <c r="B38" s="7">
        <v>34.04</v>
      </c>
      <c r="C38" s="7">
        <v>170.93</v>
      </c>
      <c r="D38" s="41">
        <v>6981.75</v>
      </c>
      <c r="F38" s="38">
        <f t="shared" ref="F38:H38" si="85">(B38-B39)/B39</f>
        <v>2.3759398496240577E-2</v>
      </c>
      <c r="G38" s="38">
        <f t="shared" si="85"/>
        <v>6.0623896409652805E-3</v>
      </c>
      <c r="H38" s="38">
        <f t="shared" si="85"/>
        <v>2.225013457742688E-3</v>
      </c>
      <c r="J38" s="38">
        <f t="shared" ref="J38:L38" si="86">LN(B38/B39)</f>
        <v>2.3481536603310177E-2</v>
      </c>
      <c r="K38" s="38">
        <f t="shared" si="86"/>
        <v>6.0440872902903777E-3</v>
      </c>
      <c r="L38" s="38">
        <f t="shared" si="86"/>
        <v>2.2225417809627842E-3</v>
      </c>
      <c r="W38" s="45" t="s">
        <v>3298</v>
      </c>
      <c r="X38" s="45" t="s">
        <v>3299</v>
      </c>
      <c r="Y38" s="45" t="s">
        <v>3297</v>
      </c>
    </row>
    <row r="39" spans="1:25">
      <c r="A39" s="9" t="s">
        <v>168</v>
      </c>
      <c r="B39" s="7">
        <v>33.25</v>
      </c>
      <c r="C39" s="7">
        <v>169.9</v>
      </c>
      <c r="D39" s="41">
        <v>6966.25</v>
      </c>
      <c r="F39" s="38">
        <f t="shared" ref="F39:H39" si="87">(B39-B40)/B40</f>
        <v>1.1560693641618576E-2</v>
      </c>
      <c r="G39" s="38">
        <f t="shared" si="87"/>
        <v>1.7304353032752618E-2</v>
      </c>
      <c r="H39" s="38">
        <f t="shared" si="87"/>
        <v>-5.0701610311707787E-3</v>
      </c>
      <c r="J39" s="38">
        <f t="shared" ref="J39:L39" si="88">LN(B39/B40)</f>
        <v>1.1494379425735212E-2</v>
      </c>
      <c r="K39" s="38">
        <f t="shared" si="88"/>
        <v>1.7156337814360292E-2</v>
      </c>
      <c r="L39" s="38">
        <f t="shared" si="88"/>
        <v>-5.0830579089115738E-3</v>
      </c>
    </row>
    <row r="40" spans="1:25">
      <c r="A40" s="9" t="s">
        <v>172</v>
      </c>
      <c r="B40" s="7">
        <v>32.869999999999997</v>
      </c>
      <c r="C40" s="7">
        <v>167.01</v>
      </c>
      <c r="D40" s="41">
        <v>7001.75</v>
      </c>
      <c r="F40" s="38">
        <f t="shared" ref="F40:H40" si="89">(B40-B41)/B41</f>
        <v>5.5062710308962899E-3</v>
      </c>
      <c r="G40" s="38">
        <f t="shared" si="89"/>
        <v>4.2090072755696512E-3</v>
      </c>
      <c r="H40" s="38">
        <f t="shared" si="89"/>
        <v>-2.1021877004204375E-3</v>
      </c>
      <c r="J40" s="38">
        <f t="shared" ref="J40:L40" si="90">LN(B40/B41)</f>
        <v>5.4911669400086738E-3</v>
      </c>
      <c r="K40" s="38">
        <f t="shared" si="90"/>
        <v>4.2001741814774382E-3</v>
      </c>
      <c r="L40" s="38">
        <f t="shared" si="90"/>
        <v>-2.1044003985327317E-3</v>
      </c>
    </row>
    <row r="41" spans="1:25">
      <c r="A41" s="9" t="s">
        <v>177</v>
      </c>
      <c r="B41" s="7">
        <v>32.69</v>
      </c>
      <c r="C41" s="7">
        <v>166.31</v>
      </c>
      <c r="D41" s="41">
        <v>7016.5</v>
      </c>
      <c r="F41" s="38">
        <f t="shared" ref="F41:H41" si="91">(B41-B42)/B42</f>
        <v>-2.7455765710800309E-3</v>
      </c>
      <c r="G41" s="38">
        <f t="shared" si="91"/>
        <v>0.10168256491785899</v>
      </c>
      <c r="H41" s="38">
        <f t="shared" si="91"/>
        <v>1.6416845110635262E-3</v>
      </c>
      <c r="J41" s="38">
        <f t="shared" ref="J41:L41" si="92">LN(B41/B42)</f>
        <v>-2.7493525795644395E-3</v>
      </c>
      <c r="K41" s="38">
        <f t="shared" si="92"/>
        <v>9.6838615621753721E-2</v>
      </c>
      <c r="L41" s="38">
        <f t="shared" si="92"/>
        <v>1.6403384200831151E-3</v>
      </c>
    </row>
    <row r="42" spans="1:25">
      <c r="A42" s="9" t="s">
        <v>181</v>
      </c>
      <c r="B42" s="7">
        <v>32.78</v>
      </c>
      <c r="C42" s="7">
        <v>150.96</v>
      </c>
      <c r="D42" s="41">
        <v>7005</v>
      </c>
      <c r="F42" s="38">
        <f t="shared" ref="F42:H42" si="93">(B42-B43)/B43</f>
        <v>1.23533045089561E-2</v>
      </c>
      <c r="G42" s="38">
        <f t="shared" si="93"/>
        <v>-2.2722858807535384E-2</v>
      </c>
      <c r="H42" s="38">
        <f t="shared" si="93"/>
        <v>6.1763860959494401E-3</v>
      </c>
      <c r="J42" s="38">
        <f t="shared" ref="J42:L42" si="94">LN(B42/B43)</f>
        <v>1.2277625066194519E-2</v>
      </c>
      <c r="K42" s="38">
        <f t="shared" si="94"/>
        <v>-2.2985001665864903E-2</v>
      </c>
      <c r="L42" s="38">
        <f t="shared" si="94"/>
        <v>6.1573903997231205E-3</v>
      </c>
    </row>
    <row r="43" spans="1:25">
      <c r="A43" s="9" t="s">
        <v>186</v>
      </c>
      <c r="B43" s="7">
        <v>32.380000000000003</v>
      </c>
      <c r="C43" s="7">
        <v>154.47</v>
      </c>
      <c r="D43" s="41">
        <v>6962</v>
      </c>
      <c r="F43" s="38">
        <f t="shared" ref="F43:H43" si="95">(B43-B44)/B44</f>
        <v>-0.99929872436272282</v>
      </c>
      <c r="G43" s="38">
        <f t="shared" si="95"/>
        <v>5.2606473594548543E-2</v>
      </c>
      <c r="H43" s="38">
        <f t="shared" si="95"/>
        <v>-1.7951387642264747E-4</v>
      </c>
      <c r="J43" s="38">
        <f t="shared" ref="J43:L43" si="96">LN(B43/B44)</f>
        <v>-7.2626095423985744</v>
      </c>
      <c r="K43" s="38">
        <f t="shared" si="96"/>
        <v>5.126944401795392E-2</v>
      </c>
      <c r="L43" s="38">
        <f t="shared" si="96"/>
        <v>-1.795299909671426E-4</v>
      </c>
    </row>
    <row r="44" spans="1:25">
      <c r="A44" s="9" t="s">
        <v>189</v>
      </c>
      <c r="B44" s="7">
        <v>46173</v>
      </c>
      <c r="C44" s="7">
        <v>146.75</v>
      </c>
      <c r="D44" s="41">
        <v>6963.25</v>
      </c>
      <c r="F44" s="38">
        <f t="shared" ref="F44:H44" si="97">(B44-B45)/B45</f>
        <v>1502.5167697818299</v>
      </c>
      <c r="G44" s="38">
        <f t="shared" si="97"/>
        <v>-2.7501656726308849E-2</v>
      </c>
      <c r="H44" s="38">
        <f t="shared" si="97"/>
        <v>-3.5061357375406961E-3</v>
      </c>
      <c r="J44" s="38">
        <f t="shared" ref="J44:L44" si="98">LN(B44/B45)</f>
        <v>7.315562156195333</v>
      </c>
      <c r="K44" s="38">
        <f t="shared" si="98"/>
        <v>-2.788690706559746E-2</v>
      </c>
      <c r="L44" s="38">
        <f t="shared" si="98"/>
        <v>-3.5122966362926503E-3</v>
      </c>
      <c r="W44" s="38" t="s">
        <v>3300</v>
      </c>
    </row>
    <row r="45" spans="1:25">
      <c r="A45" s="9" t="s">
        <v>193</v>
      </c>
      <c r="B45" s="7">
        <v>30.71</v>
      </c>
      <c r="C45" s="7">
        <v>150.9</v>
      </c>
      <c r="D45" s="41">
        <v>6987.75</v>
      </c>
      <c r="F45" s="38">
        <f t="shared" ref="F45:H45" si="99">(B45-B46)/B46</f>
        <v>3.960731211916052E-2</v>
      </c>
      <c r="G45" s="38">
        <f t="shared" si="99"/>
        <v>-3.4301804684500101E-2</v>
      </c>
      <c r="H45" s="38">
        <f t="shared" si="99"/>
        <v>6.3366336633663371E-3</v>
      </c>
      <c r="J45" s="38">
        <f t="shared" ref="J45:L45" si="100">LN(B45/B46)</f>
        <v>3.8843057349497265E-2</v>
      </c>
      <c r="K45" s="38">
        <f t="shared" si="100"/>
        <v>-3.4903920794794908E-2</v>
      </c>
      <c r="L45" s="38">
        <f t="shared" si="100"/>
        <v>6.3166416107038898E-3</v>
      </c>
    </row>
    <row r="46" spans="1:25">
      <c r="A46" s="9" t="s">
        <v>196</v>
      </c>
      <c r="B46" s="7">
        <v>29.54</v>
      </c>
      <c r="C46" s="7">
        <v>156.26</v>
      </c>
      <c r="D46" s="41">
        <v>6943.75</v>
      </c>
      <c r="F46" s="38">
        <f t="shared" ref="F46:H46" si="101">(B46-B47)/B47</f>
        <v>3.2506116742397756E-2</v>
      </c>
      <c r="G46" s="38">
        <f t="shared" si="101"/>
        <v>3.338898163605893E-3</v>
      </c>
      <c r="H46" s="38">
        <f t="shared" si="101"/>
        <v>6.2676617636403158E-3</v>
      </c>
      <c r="J46" s="38">
        <f t="shared" ref="J46:L46" si="102">LN(B46/B47)</f>
        <v>3.1988970041214766E-2</v>
      </c>
      <c r="K46" s="38">
        <f t="shared" si="102"/>
        <v>3.333336419758217E-3</v>
      </c>
      <c r="L46" s="38">
        <f t="shared" si="102"/>
        <v>6.2481016598454862E-3</v>
      </c>
    </row>
    <row r="47" spans="1:25">
      <c r="A47" s="9" t="s">
        <v>199</v>
      </c>
      <c r="B47" s="7">
        <v>28.61</v>
      </c>
      <c r="C47" s="7">
        <v>155.74</v>
      </c>
      <c r="D47" s="41">
        <v>6900.5</v>
      </c>
      <c r="F47" s="38">
        <f t="shared" ref="F47:H47" si="103">(B47-B48)/B48</f>
        <v>1.4179369018078645E-2</v>
      </c>
      <c r="G47" s="38">
        <f t="shared" si="103"/>
        <v>6.2491472233592547E-2</v>
      </c>
      <c r="H47" s="38">
        <f t="shared" si="103"/>
        <v>1.1606819006166123E-3</v>
      </c>
      <c r="J47" s="38">
        <f t="shared" ref="J47:L47" si="104">LN(B47/B48)</f>
        <v>1.4079782048113979E-2</v>
      </c>
      <c r="K47" s="38">
        <f t="shared" si="104"/>
        <v>6.0616595651135877E-2</v>
      </c>
      <c r="L47" s="38">
        <f t="shared" si="104"/>
        <v>1.1600088301429469E-3</v>
      </c>
    </row>
    <row r="48" spans="1:25">
      <c r="A48" s="9" t="s">
        <v>203</v>
      </c>
      <c r="B48" s="7">
        <v>28.21</v>
      </c>
      <c r="C48" s="7">
        <v>146.58000000000001</v>
      </c>
      <c r="D48" s="41">
        <v>6892.5</v>
      </c>
      <c r="F48" s="38">
        <f t="shared" ref="F48:H48" si="105">(B48-B49)/B49</f>
        <v>-1.2600630031501555E-2</v>
      </c>
      <c r="G48" s="38">
        <f t="shared" si="105"/>
        <v>-5.2931596091205287E-3</v>
      </c>
      <c r="H48" s="38">
        <f t="shared" si="105"/>
        <v>-7.4522086618425314E-3</v>
      </c>
      <c r="J48" s="38">
        <f t="shared" ref="J48:L48" si="106">LN(B48/B49)</f>
        <v>-1.268069122877679E-2</v>
      </c>
      <c r="K48" s="38">
        <f t="shared" si="106"/>
        <v>-5.3072180092926715E-3</v>
      </c>
      <c r="L48" s="38">
        <f t="shared" si="106"/>
        <v>-7.4801150983143131E-3</v>
      </c>
    </row>
    <row r="49" spans="1:12">
      <c r="A49" s="9" t="s">
        <v>208</v>
      </c>
      <c r="B49" s="7">
        <v>28.57</v>
      </c>
      <c r="C49" s="7">
        <v>147.36000000000001</v>
      </c>
      <c r="D49" s="41">
        <v>6944.25</v>
      </c>
      <c r="F49" s="38">
        <f t="shared" ref="F49:H49" si="107">(B49-B50)/B50</f>
        <v>-1.3126079447322936E-2</v>
      </c>
      <c r="G49" s="38">
        <f t="shared" si="107"/>
        <v>-7.609940063303895E-3</v>
      </c>
      <c r="H49" s="38">
        <f t="shared" si="107"/>
        <v>-1.5456506110711717E-3</v>
      </c>
      <c r="J49" s="38">
        <f t="shared" ref="J49:L49" si="108">LN(B49/B50)</f>
        <v>-1.3212987776322488E-2</v>
      </c>
      <c r="K49" s="38">
        <f t="shared" si="108"/>
        <v>-7.6390434009733152E-3</v>
      </c>
      <c r="L49" s="38">
        <f t="shared" si="108"/>
        <v>-1.5468463612770937E-3</v>
      </c>
    </row>
    <row r="50" spans="1:12">
      <c r="A50" s="9" t="s">
        <v>211</v>
      </c>
      <c r="B50" s="7">
        <v>28.95</v>
      </c>
      <c r="C50" s="7">
        <v>148.49</v>
      </c>
      <c r="D50" s="41">
        <v>6955</v>
      </c>
      <c r="F50" s="38">
        <f t="shared" ref="F50:H50" si="109">(B50-B51)/B51</f>
        <v>-1.2282497441146347E-2</v>
      </c>
      <c r="G50" s="38">
        <f t="shared" si="109"/>
        <v>-2.4632159747766683E-2</v>
      </c>
      <c r="H50" s="38">
        <f t="shared" si="109"/>
        <v>-3.4745853780850378E-3</v>
      </c>
      <c r="J50" s="38">
        <f t="shared" ref="J50:L50" si="110">LN(B50/B51)</f>
        <v>-1.2358550703796848E-2</v>
      </c>
      <c r="K50" s="38">
        <f t="shared" si="110"/>
        <v>-2.4940607079923922E-2</v>
      </c>
      <c r="L50" s="38">
        <f t="shared" si="110"/>
        <v>-3.4806357689919948E-3</v>
      </c>
    </row>
    <row r="51" spans="1:12">
      <c r="A51" s="9" t="s">
        <v>215</v>
      </c>
      <c r="B51" s="7">
        <v>29.31</v>
      </c>
      <c r="C51" s="7">
        <v>152.24</v>
      </c>
      <c r="D51" s="41">
        <v>6979.25</v>
      </c>
      <c r="F51" s="38">
        <f t="shared" ref="F51:H51" si="111">(B51-B52)/B52</f>
        <v>-0.99936644834965316</v>
      </c>
      <c r="G51" s="38">
        <f t="shared" si="111"/>
        <v>1.4527522324403618E-2</v>
      </c>
      <c r="H51" s="38">
        <f t="shared" si="111"/>
        <v>-4.6544933762978876E-4</v>
      </c>
      <c r="J51" s="38">
        <f t="shared" ref="J51:L51" si="112">LN(B51/B52)</f>
        <v>-7.3641690298029649</v>
      </c>
      <c r="K51" s="38">
        <f t="shared" si="112"/>
        <v>1.4423008870311478E-2</v>
      </c>
      <c r="L51" s="38">
        <f t="shared" si="112"/>
        <v>-4.6555769279663453E-4</v>
      </c>
    </row>
    <row r="52" spans="1:12">
      <c r="A52" s="9" t="s">
        <v>217</v>
      </c>
      <c r="B52" s="7">
        <v>46263</v>
      </c>
      <c r="C52" s="7">
        <v>150.06</v>
      </c>
      <c r="D52" s="41">
        <v>6982.5</v>
      </c>
      <c r="F52" s="38">
        <f t="shared" ref="F52:H52" si="113">(B52-B53)/B53</f>
        <v>1585.5226337448557</v>
      </c>
      <c r="G52" s="38">
        <f t="shared" si="113"/>
        <v>-7.7365602063081901E-3</v>
      </c>
      <c r="H52" s="38">
        <f t="shared" si="113"/>
        <v>3.0886366901307282E-3</v>
      </c>
      <c r="J52" s="38">
        <f t="shared" ref="J52:L52" si="114">LN(B52/B53)</f>
        <v>7.3692998773853091</v>
      </c>
      <c r="K52" s="38">
        <f t="shared" si="114"/>
        <v>-7.7666426450664038E-3</v>
      </c>
      <c r="L52" s="38">
        <f t="shared" si="114"/>
        <v>3.0838766506654462E-3</v>
      </c>
    </row>
    <row r="53" spans="1:12">
      <c r="A53" s="9" t="s">
        <v>221</v>
      </c>
      <c r="B53" s="7">
        <v>29.16</v>
      </c>
      <c r="C53" s="7">
        <v>151.22999999999999</v>
      </c>
      <c r="D53" s="41">
        <v>6961</v>
      </c>
      <c r="F53" s="38">
        <f t="shared" ref="F53:H53" si="115">(B53-B54)/B54</f>
        <v>7.9502246802627182E-3</v>
      </c>
      <c r="G53" s="38">
        <f t="shared" si="115"/>
        <v>1.7885532591413737E-3</v>
      </c>
      <c r="H53" s="38">
        <f t="shared" si="115"/>
        <v>4.4370693697918543E-3</v>
      </c>
      <c r="J53" s="38">
        <f t="shared" ref="J53:L53" si="116">LN(B53/B54)</f>
        <v>7.9187881524137096E-3</v>
      </c>
      <c r="K53" s="38">
        <f t="shared" si="116"/>
        <v>1.7869557023541857E-3</v>
      </c>
      <c r="L53" s="38">
        <f t="shared" si="116"/>
        <v>4.4272545993310642E-3</v>
      </c>
    </row>
    <row r="54" spans="1:12">
      <c r="A54" s="9" t="s">
        <v>225</v>
      </c>
      <c r="B54" s="7">
        <v>28.93</v>
      </c>
      <c r="C54" s="7">
        <v>150.96</v>
      </c>
      <c r="D54" s="41">
        <v>6930.25</v>
      </c>
      <c r="F54" s="38">
        <f t="shared" ref="F54:H54" si="117">(B54-B55)/B55</f>
        <v>-1.665533650577845E-2</v>
      </c>
      <c r="G54" s="38">
        <f t="shared" si="117"/>
        <v>7.8109353094333129E-3</v>
      </c>
      <c r="H54" s="38">
        <f t="shared" si="117"/>
        <v>1.9673245504330149E-2</v>
      </c>
      <c r="J54" s="38">
        <f t="shared" ref="J54:L54" si="118">LN(B54/B55)</f>
        <v>-1.6795596185247792E-2</v>
      </c>
      <c r="K54" s="38">
        <f t="shared" si="118"/>
        <v>7.7805878796672933E-3</v>
      </c>
      <c r="L54" s="38">
        <f t="shared" si="118"/>
        <v>1.9482228429169801E-2</v>
      </c>
    </row>
    <row r="55" spans="1:12">
      <c r="A55" s="9" t="s">
        <v>230</v>
      </c>
      <c r="B55" s="7">
        <v>29.42</v>
      </c>
      <c r="C55" s="7">
        <v>149.79</v>
      </c>
      <c r="D55" s="41">
        <v>6796.54</v>
      </c>
      <c r="F55" s="38">
        <f t="shared" ref="F55:H55" si="119">(B55-B56)/B56</f>
        <v>3.0685305148313471E-3</v>
      </c>
      <c r="G55" s="38">
        <f t="shared" si="119"/>
        <v>1.6766223187618782E-2</v>
      </c>
      <c r="H55" s="38">
        <f t="shared" si="119"/>
        <v>2.6983365913030594E-3</v>
      </c>
      <c r="J55" s="38">
        <f t="shared" ref="J55:L55" si="120">LN(B55/B56)</f>
        <v>3.0638321839318076E-3</v>
      </c>
      <c r="K55" s="38">
        <f t="shared" si="120"/>
        <v>1.6627221603763155E-2</v>
      </c>
      <c r="L55" s="38">
        <f t="shared" si="120"/>
        <v>2.6947026167796089E-3</v>
      </c>
    </row>
    <row r="56" spans="1:12">
      <c r="A56" s="9" t="s">
        <v>235</v>
      </c>
      <c r="B56" s="7">
        <v>29.33</v>
      </c>
      <c r="C56" s="7">
        <v>147.32</v>
      </c>
      <c r="D56" s="41">
        <v>6778.25</v>
      </c>
      <c r="F56" s="38">
        <f t="shared" ref="F56:H56" si="121">(B56-B57)/B57</f>
        <v>6.5202470830472798E-3</v>
      </c>
      <c r="G56" s="38">
        <f t="shared" si="121"/>
        <v>1.5636685022774475E-3</v>
      </c>
      <c r="H56" s="38">
        <f t="shared" si="121"/>
        <v>7.693451274808593E-3</v>
      </c>
      <c r="J56" s="38">
        <f t="shared" ref="J56:L56" si="122">LN(B56/B57)</f>
        <v>6.4990822223007522E-3</v>
      </c>
      <c r="K56" s="38">
        <f t="shared" si="122"/>
        <v>1.5624472456129746E-3</v>
      </c>
      <c r="L56" s="38">
        <f t="shared" si="122"/>
        <v>7.6640075977886576E-3</v>
      </c>
    </row>
    <row r="57" spans="1:12">
      <c r="A57" s="9" t="s">
        <v>237</v>
      </c>
      <c r="B57" s="7">
        <v>29.14</v>
      </c>
      <c r="C57" s="7">
        <v>147.09</v>
      </c>
      <c r="D57" s="41">
        <v>6726.5</v>
      </c>
      <c r="F57" s="38">
        <f t="shared" ref="F57:H57" si="123">(B57-B58)/B58</f>
        <v>1.0402219140083243E-2</v>
      </c>
      <c r="G57" s="38">
        <f t="shared" si="123"/>
        <v>-1.4736419050170733E-2</v>
      </c>
      <c r="H57" s="38">
        <f t="shared" si="123"/>
        <v>-1.095427143067196E-2</v>
      </c>
      <c r="J57" s="38">
        <f t="shared" ref="J57:L57" si="124">LN(B57/B58)</f>
        <v>1.0348488350310443E-2</v>
      </c>
      <c r="K57" s="38">
        <f t="shared" si="124"/>
        <v>-1.4846078734247146E-2</v>
      </c>
      <c r="L57" s="38">
        <f t="shared" si="124"/>
        <v>-1.1014711250041094E-2</v>
      </c>
    </row>
    <row r="58" spans="1:12">
      <c r="A58" s="9" t="s">
        <v>242</v>
      </c>
      <c r="B58" s="7">
        <v>28.84</v>
      </c>
      <c r="C58" s="7">
        <v>149.29</v>
      </c>
      <c r="D58" s="41">
        <v>6801</v>
      </c>
      <c r="F58" s="38">
        <f t="shared" ref="F58:H58" si="125">(B58-B59)/B59</f>
        <v>-2.2041369955917212E-2</v>
      </c>
      <c r="G58" s="38">
        <f t="shared" si="125"/>
        <v>-5.3301352521820996E-3</v>
      </c>
      <c r="H58" s="38">
        <f t="shared" si="125"/>
        <v>-3.2243880990766526E-3</v>
      </c>
      <c r="J58" s="38">
        <f t="shared" ref="J58:L58" si="126">LN(B58/B59)</f>
        <v>-2.2287910410436498E-2</v>
      </c>
      <c r="K58" s="38">
        <f t="shared" si="126"/>
        <v>-5.3443911027246348E-3</v>
      </c>
      <c r="L58" s="38">
        <f t="shared" si="126"/>
        <v>-3.2295976397849471E-3</v>
      </c>
    </row>
    <row r="59" spans="1:12">
      <c r="A59" s="9" t="s">
        <v>246</v>
      </c>
      <c r="B59" s="7">
        <v>29.49</v>
      </c>
      <c r="C59" s="7">
        <v>150.09</v>
      </c>
      <c r="D59" s="41">
        <v>6823</v>
      </c>
      <c r="F59" s="38">
        <f t="shared" ref="F59:H59" si="127">(B59-B60)/B60</f>
        <v>-2.3680649526387106E-3</v>
      </c>
      <c r="G59" s="38">
        <f t="shared" si="127"/>
        <v>-3.5906988694758502E-2</v>
      </c>
      <c r="H59" s="38">
        <f t="shared" si="127"/>
        <v>-1.1345752662591955E-3</v>
      </c>
      <c r="J59" s="38">
        <f t="shared" ref="J59:L59" si="128">LN(B59/B60)</f>
        <v>-2.3708732528161976E-3</v>
      </c>
      <c r="K59" s="38">
        <f t="shared" si="128"/>
        <v>-3.6567504269471592E-2</v>
      </c>
      <c r="L59" s="38">
        <f t="shared" si="128"/>
        <v>-1.135219384022703E-3</v>
      </c>
    </row>
    <row r="60" spans="1:12">
      <c r="A60" s="9" t="s">
        <v>250</v>
      </c>
      <c r="B60" s="7">
        <v>29.56</v>
      </c>
      <c r="C60" s="7">
        <v>155.68</v>
      </c>
      <c r="D60" s="41">
        <v>6830.75</v>
      </c>
      <c r="F60" s="38">
        <f t="shared" ref="F60:H60" si="129">(B60-B61)/B61</f>
        <v>-1.0378305992634826E-2</v>
      </c>
      <c r="G60" s="38">
        <f t="shared" si="129"/>
        <v>-7.7756532823454357E-3</v>
      </c>
      <c r="H60" s="38">
        <f t="shared" si="129"/>
        <v>-1.1075319410764053E-2</v>
      </c>
      <c r="J60" s="38">
        <f t="shared" ref="J60:L60" si="130">LN(B60/B61)</f>
        <v>-1.043253614801744E-2</v>
      </c>
      <c r="K60" s="38">
        <f t="shared" si="130"/>
        <v>-7.8060413012919511E-3</v>
      </c>
      <c r="L60" s="38">
        <f t="shared" si="130"/>
        <v>-1.1137107398823379E-2</v>
      </c>
    </row>
    <row r="61" spans="1:12">
      <c r="A61" s="9" t="s">
        <v>252</v>
      </c>
      <c r="B61" s="7">
        <v>29.87</v>
      </c>
      <c r="C61" s="7">
        <v>156.9</v>
      </c>
      <c r="D61" s="41">
        <v>6907.25</v>
      </c>
      <c r="F61" s="38">
        <f t="shared" ref="F61:H61" si="131">(B61-B62)/B62</f>
        <v>-3.669112741827866E-3</v>
      </c>
      <c r="G61" s="38">
        <f t="shared" si="131"/>
        <v>-1.2089157536834073E-2</v>
      </c>
      <c r="H61" s="38">
        <f t="shared" si="131"/>
        <v>2.2490659121413284E-3</v>
      </c>
      <c r="J61" s="38">
        <f t="shared" ref="J61:L61" si="132">LN(B61/B62)</f>
        <v>-3.6758604464332371E-3</v>
      </c>
      <c r="K61" s="38">
        <f t="shared" si="132"/>
        <v>-1.2162825728077878E-2</v>
      </c>
      <c r="L61" s="38">
        <f t="shared" si="132"/>
        <v>2.2465405491657055E-3</v>
      </c>
    </row>
    <row r="62" spans="1:12">
      <c r="A62" s="9" t="s">
        <v>255</v>
      </c>
      <c r="B62" s="7">
        <v>29.98</v>
      </c>
      <c r="C62" s="7">
        <v>158.82</v>
      </c>
      <c r="D62" s="41">
        <v>6891.75</v>
      </c>
      <c r="F62" s="38">
        <f t="shared" ref="F62:H62" si="133">(B62-B63)/B63</f>
        <v>2.4606971975392987E-2</v>
      </c>
      <c r="G62" s="38">
        <f t="shared" si="133"/>
        <v>1.8338035393690593E-2</v>
      </c>
      <c r="H62" s="38">
        <f t="shared" si="133"/>
        <v>6.3519877340926512E-3</v>
      </c>
      <c r="J62" s="38">
        <f t="shared" ref="J62:L62" si="134">LN(B62/B63)</f>
        <v>2.4309097082473335E-2</v>
      </c>
      <c r="K62" s="38">
        <f t="shared" si="134"/>
        <v>1.8171921352668246E-2</v>
      </c>
      <c r="L62" s="38">
        <f t="shared" si="134"/>
        <v>6.3318988845449172E-3</v>
      </c>
    </row>
    <row r="63" spans="1:12">
      <c r="A63" s="9" t="s">
        <v>259</v>
      </c>
      <c r="B63" s="7">
        <v>29.26</v>
      </c>
      <c r="C63" s="7">
        <v>155.96</v>
      </c>
      <c r="D63" s="41">
        <v>6848.25</v>
      </c>
      <c r="F63" s="38">
        <f t="shared" ref="F63:H63" si="135">(B63-B64)/B64</f>
        <v>1.368925393566143E-3</v>
      </c>
      <c r="G63" s="38">
        <f t="shared" si="135"/>
        <v>-1.3722886232846314E-2</v>
      </c>
      <c r="H63" s="38">
        <f t="shared" si="135"/>
        <v>-1.0939722131057871E-3</v>
      </c>
      <c r="J63" s="38">
        <f t="shared" ref="J63:L63" si="136">LN(B63/B64)</f>
        <v>1.3679892694248104E-3</v>
      </c>
      <c r="K63" s="38">
        <f t="shared" si="136"/>
        <v>-1.3817915420828579E-2</v>
      </c>
      <c r="L63" s="38">
        <f t="shared" si="136"/>
        <v>-1.0945710374786538E-3</v>
      </c>
    </row>
    <row r="64" spans="1:12">
      <c r="A64" s="9" t="s">
        <v>264</v>
      </c>
      <c r="B64" s="7">
        <v>29.22</v>
      </c>
      <c r="C64" s="7">
        <v>158.13</v>
      </c>
      <c r="D64" s="41">
        <v>6855.75</v>
      </c>
      <c r="F64" s="38">
        <f t="shared" ref="F64:H64" si="137">(B64-B65)/B65</f>
        <v>2.3109243697478996E-2</v>
      </c>
      <c r="G64" s="38">
        <f t="shared" si="137"/>
        <v>-1.2001010611419765E-3</v>
      </c>
      <c r="H64" s="38">
        <f t="shared" si="137"/>
        <v>-3.2711808963035655E-3</v>
      </c>
      <c r="J64" s="38">
        <f t="shared" ref="J64:L64" si="138">LN(B64/B65)</f>
        <v>2.2846268851169707E-2</v>
      </c>
      <c r="K64" s="38">
        <f t="shared" si="138"/>
        <v>-1.2008217590850797E-3</v>
      </c>
      <c r="L64" s="38">
        <f t="shared" si="138"/>
        <v>-3.2765429051254112E-3</v>
      </c>
    </row>
    <row r="65" spans="1:12">
      <c r="A65" s="9" t="s">
        <v>268</v>
      </c>
      <c r="B65" s="7">
        <v>28.56</v>
      </c>
      <c r="C65" s="7">
        <v>158.32</v>
      </c>
      <c r="D65" s="41">
        <v>6878.25</v>
      </c>
      <c r="F65" s="38">
        <f t="shared" ref="F65:H65" si="139">(B65-B66)/B66</f>
        <v>3.5157665820949577E-2</v>
      </c>
      <c r="G65" s="38">
        <f t="shared" si="139"/>
        <v>5.5894308943089145E-3</v>
      </c>
      <c r="H65" s="38">
        <f t="shared" si="139"/>
        <v>1.6747369570757637E-3</v>
      </c>
      <c r="J65" s="38">
        <f t="shared" ref="J65:L65" si="140">LN(B65/B66)</f>
        <v>3.4553749242188896E-2</v>
      </c>
      <c r="K65" s="38">
        <f t="shared" si="140"/>
        <v>5.5738679903670173E-3</v>
      </c>
      <c r="L65" s="38">
        <f t="shared" si="140"/>
        <v>1.6733361489101228E-3</v>
      </c>
    </row>
    <row r="66" spans="1:12">
      <c r="A66" s="9" t="s">
        <v>273</v>
      </c>
      <c r="B66" s="7">
        <v>27.59</v>
      </c>
      <c r="C66" s="7">
        <v>157.44</v>
      </c>
      <c r="D66" s="41">
        <v>6866.75</v>
      </c>
      <c r="F66" s="38">
        <f t="shared" ref="F66:H66" si="141">(B66-B67)/B67</f>
        <v>1.6206261510128963E-2</v>
      </c>
      <c r="G66" s="38">
        <f t="shared" si="141"/>
        <v>-4.0485829959515099E-3</v>
      </c>
      <c r="H66" s="38">
        <f t="shared" si="141"/>
        <v>6.9221801224132902E-4</v>
      </c>
      <c r="J66" s="38">
        <f t="shared" ref="J66:L66" si="142">LN(B66/B67)</f>
        <v>1.6076341849250407E-2</v>
      </c>
      <c r="K66" s="38">
        <f t="shared" si="142"/>
        <v>-4.0568006956144299E-3</v>
      </c>
      <c r="L66" s="38">
        <f t="shared" si="142"/>
        <v>6.9197853985807566E-4</v>
      </c>
    </row>
    <row r="67" spans="1:12">
      <c r="A67" s="9" t="s">
        <v>277</v>
      </c>
      <c r="B67" s="7">
        <v>27.15</v>
      </c>
      <c r="C67" s="7">
        <v>158.08000000000001</v>
      </c>
      <c r="D67" s="41">
        <v>6862</v>
      </c>
      <c r="F67" s="38">
        <f t="shared" ref="F67:H67" si="143">(B67-B68)/B68</f>
        <v>-3.8938053097345181E-2</v>
      </c>
      <c r="G67" s="38">
        <f t="shared" si="143"/>
        <v>-1.892881524235079E-2</v>
      </c>
      <c r="H67" s="38">
        <f t="shared" si="143"/>
        <v>3.1797083439932751E-3</v>
      </c>
      <c r="J67" s="38">
        <f t="shared" ref="J67:L67" si="144">LN(B67/B68)</f>
        <v>-3.971641121250559E-2</v>
      </c>
      <c r="K67" s="38">
        <f t="shared" si="144"/>
        <v>-1.9110258585919884E-2</v>
      </c>
      <c r="L67" s="38">
        <f t="shared" si="144"/>
        <v>3.1746637621208351E-3</v>
      </c>
    </row>
    <row r="68" spans="1:12">
      <c r="A68" s="9" t="s">
        <v>281</v>
      </c>
      <c r="B68" s="7">
        <v>28.25</v>
      </c>
      <c r="C68" s="7">
        <v>161.13</v>
      </c>
      <c r="D68" s="41">
        <v>6840.25</v>
      </c>
      <c r="F68" s="38">
        <f t="shared" ref="F68:H68" si="145">(B68-B69)/B69</f>
        <v>-1.189227002448408E-2</v>
      </c>
      <c r="G68" s="38">
        <f t="shared" si="145"/>
        <v>-1.905515645927186E-2</v>
      </c>
      <c r="H68" s="38">
        <f t="shared" si="145"/>
        <v>1.9775149229135387E-3</v>
      </c>
      <c r="J68" s="38">
        <f t="shared" ref="J68:L68" si="146">LN(B68/B69)</f>
        <v>-1.1963548741770521E-2</v>
      </c>
      <c r="K68" s="38">
        <f t="shared" si="146"/>
        <v>-1.9239045726568482E-2</v>
      </c>
      <c r="L68" s="38">
        <f t="shared" si="146"/>
        <v>1.9755622141949987E-3</v>
      </c>
    </row>
    <row r="69" spans="1:12">
      <c r="A69" s="9" t="s">
        <v>284</v>
      </c>
      <c r="B69" s="7">
        <v>28.59</v>
      </c>
      <c r="C69" s="7">
        <v>164.26</v>
      </c>
      <c r="D69" s="41">
        <v>6826.75</v>
      </c>
      <c r="F69" s="38">
        <f t="shared" ref="F69:H69" si="147">(B69-B70)/B70</f>
        <v>7.0447340612891608E-3</v>
      </c>
      <c r="G69" s="38">
        <f t="shared" si="147"/>
        <v>4.4246662428480479E-2</v>
      </c>
      <c r="H69" s="38">
        <f t="shared" si="147"/>
        <v>-4.7744004665063048E-3</v>
      </c>
      <c r="J69" s="38">
        <f t="shared" ref="J69:L69" si="148">LN(B69/B70)</f>
        <v>7.0200358493405675E-3</v>
      </c>
      <c r="K69" s="38">
        <f t="shared" si="148"/>
        <v>4.3295728247814011E-2</v>
      </c>
      <c r="L69" s="38">
        <f t="shared" si="148"/>
        <v>-4.7858343241404125E-3</v>
      </c>
    </row>
    <row r="70" spans="1:12">
      <c r="A70" s="9" t="s">
        <v>289</v>
      </c>
      <c r="B70" s="7">
        <v>28.39</v>
      </c>
      <c r="C70" s="7">
        <v>157.30000000000001</v>
      </c>
      <c r="D70" s="41">
        <v>6859.5</v>
      </c>
      <c r="F70" s="38">
        <f t="shared" ref="F70:H70" si="149">(B70-B71)/B71</f>
        <v>-1.5603328710124802E-2</v>
      </c>
      <c r="G70" s="38">
        <f t="shared" si="149"/>
        <v>-1.9035532994922777E-3</v>
      </c>
      <c r="H70" s="38">
        <f t="shared" si="149"/>
        <v>4.6133567662565902E-3</v>
      </c>
      <c r="J70" s="38">
        <f t="shared" ref="J70:L70" si="150">LN(B70/B71)</f>
        <v>-1.57263419318685E-2</v>
      </c>
      <c r="K70" s="38">
        <f t="shared" si="150"/>
        <v>-1.9053673595465471E-3</v>
      </c>
      <c r="L70" s="38">
        <f t="shared" si="150"/>
        <v>4.602747851888263E-3</v>
      </c>
    </row>
    <row r="71" spans="1:12">
      <c r="A71" s="9" t="s">
        <v>293</v>
      </c>
      <c r="B71" s="7">
        <v>28.84</v>
      </c>
      <c r="C71" s="7">
        <v>157.6</v>
      </c>
      <c r="D71" s="41">
        <v>6828</v>
      </c>
      <c r="F71" s="38">
        <f t="shared" ref="F71:H71" si="151">(B71-B72)/B72</f>
        <v>2.3420865862313702E-2</v>
      </c>
      <c r="G71" s="38">
        <f t="shared" si="151"/>
        <v>3.7577224380612919E-3</v>
      </c>
      <c r="H71" s="38">
        <f t="shared" si="151"/>
        <v>6.8568900685689006E-3</v>
      </c>
      <c r="J71" s="38">
        <f t="shared" ref="J71:L71" si="152">LN(B71/B72)</f>
        <v>2.3150805946214093E-2</v>
      </c>
      <c r="K71" s="38">
        <f t="shared" si="152"/>
        <v>3.7506798363486095E-3</v>
      </c>
      <c r="L71" s="38">
        <f t="shared" si="152"/>
        <v>6.8334885115616199E-3</v>
      </c>
    </row>
    <row r="72" spans="1:12">
      <c r="A72" s="9" t="s">
        <v>296</v>
      </c>
      <c r="B72" s="7">
        <v>28.18</v>
      </c>
      <c r="C72" s="7">
        <v>157.01</v>
      </c>
      <c r="D72" s="41">
        <v>6781.5</v>
      </c>
      <c r="F72" s="38">
        <f t="shared" ref="F72:H72" si="153">(B72-B73)/B73</f>
        <v>-0.99939043910880376</v>
      </c>
      <c r="G72" s="38">
        <f t="shared" si="153"/>
        <v>-2.314440365830896E-2</v>
      </c>
      <c r="H72" s="38">
        <f t="shared" si="153"/>
        <v>8.9641063790217596E-3</v>
      </c>
      <c r="J72" s="38">
        <f t="shared" ref="J72:L72" si="154">LN(B72/B73)</f>
        <v>-7.402771710511737</v>
      </c>
      <c r="K72" s="38">
        <f t="shared" si="154"/>
        <v>-2.3416440993619368E-2</v>
      </c>
      <c r="L72" s="38">
        <f t="shared" si="154"/>
        <v>8.9241672788817183E-3</v>
      </c>
    </row>
    <row r="73" spans="1:12">
      <c r="A73" s="9" t="s">
        <v>300</v>
      </c>
      <c r="B73" s="7">
        <v>46230</v>
      </c>
      <c r="C73" s="7">
        <v>160.72999999999999</v>
      </c>
      <c r="D73" s="41">
        <v>6721.25</v>
      </c>
      <c r="F73" s="38">
        <f t="shared" ref="F73:H73" si="155">(B73-B74)/B74</f>
        <v>1737.6235426852202</v>
      </c>
      <c r="G73" s="38">
        <f t="shared" si="155"/>
        <v>5.1003727195448788E-2</v>
      </c>
      <c r="H73" s="38">
        <f t="shared" si="155"/>
        <v>1.5256221441788452E-2</v>
      </c>
      <c r="J73" s="38">
        <f t="shared" ref="J73:L73" si="156">LN(B73/B74)</f>
        <v>7.4608490117273423</v>
      </c>
      <c r="K73" s="38">
        <f t="shared" si="156"/>
        <v>4.974563822101765E-2</v>
      </c>
      <c r="L73" s="38">
        <f t="shared" si="156"/>
        <v>1.5141015555435851E-2</v>
      </c>
    </row>
    <row r="74" spans="1:12">
      <c r="A74" s="9" t="s">
        <v>303</v>
      </c>
      <c r="B74" s="7">
        <v>26.59</v>
      </c>
      <c r="C74" s="7">
        <v>152.93</v>
      </c>
      <c r="D74" s="41">
        <v>6620.25</v>
      </c>
      <c r="F74" s="38">
        <f t="shared" ref="F74:H74" si="157">(B74-B75)/B75</f>
        <v>7.1313456889605137E-2</v>
      </c>
      <c r="G74" s="38">
        <f t="shared" si="157"/>
        <v>-2.2834029227557042E-3</v>
      </c>
      <c r="H74" s="38">
        <f t="shared" si="157"/>
        <v>9.5691955775829198E-3</v>
      </c>
      <c r="J74" s="38">
        <f t="shared" ref="J74:L74" si="158">LN(B74/B75)</f>
        <v>6.8885425478467349E-2</v>
      </c>
      <c r="K74" s="38">
        <f t="shared" si="158"/>
        <v>-2.2860138625184464E-3</v>
      </c>
      <c r="L74" s="38">
        <f t="shared" si="158"/>
        <v>9.5237008274232336E-3</v>
      </c>
    </row>
    <row r="75" spans="1:12">
      <c r="A75" s="9" t="s">
        <v>307</v>
      </c>
      <c r="B75" s="7">
        <v>24.82</v>
      </c>
      <c r="C75" s="7">
        <v>153.28</v>
      </c>
      <c r="D75" s="41">
        <v>6557.5</v>
      </c>
      <c r="F75" s="38">
        <f t="shared" ref="F75:H75" si="159">(B75-B76)/B76</f>
        <v>1.3474887709269166E-2</v>
      </c>
      <c r="G75" s="38">
        <f t="shared" si="159"/>
        <v>-3.5307445402479612E-2</v>
      </c>
      <c r="H75" s="38">
        <f t="shared" si="159"/>
        <v>-1.5612099377017189E-2</v>
      </c>
      <c r="J75" s="38">
        <f t="shared" ref="J75:L75" si="160">LN(B75/B76)</f>
        <v>1.3384908812384877E-2</v>
      </c>
      <c r="K75" s="38">
        <f t="shared" si="160"/>
        <v>-3.5945824677725162E-2</v>
      </c>
      <c r="L75" s="38">
        <f t="shared" si="160"/>
        <v>-1.5735251659237968E-2</v>
      </c>
    </row>
    <row r="76" spans="1:12">
      <c r="A76" s="9" t="s">
        <v>312</v>
      </c>
      <c r="B76" s="7">
        <v>24.49</v>
      </c>
      <c r="C76" s="7">
        <v>158.88999999999999</v>
      </c>
      <c r="D76" s="41">
        <v>6661.5</v>
      </c>
      <c r="F76" s="38">
        <f t="shared" ref="F76:H76" si="161">(B76-B77)/B77</f>
        <v>-9.7048119692681751E-3</v>
      </c>
      <c r="G76" s="38">
        <f t="shared" si="161"/>
        <v>-5.1965940395693249E-3</v>
      </c>
      <c r="H76" s="38">
        <f t="shared" si="161"/>
        <v>3.2757257426860951E-3</v>
      </c>
      <c r="J76" s="38">
        <f t="shared" ref="J76:L76" si="162">LN(B76/B77)</f>
        <v>-9.7522105692485709E-3</v>
      </c>
      <c r="K76" s="38">
        <f t="shared" si="162"/>
        <v>-5.210143294744991E-3</v>
      </c>
      <c r="L76" s="38">
        <f t="shared" si="162"/>
        <v>3.2703722409984687E-3</v>
      </c>
    </row>
    <row r="77" spans="1:12">
      <c r="A77" s="9" t="s">
        <v>316</v>
      </c>
      <c r="B77" s="7">
        <v>24.73</v>
      </c>
      <c r="C77" s="7">
        <v>159.72</v>
      </c>
      <c r="D77" s="41">
        <v>6639.75</v>
      </c>
      <c r="F77" s="38">
        <f t="shared" ref="F77:H77" si="163">(B77-B78)/B78</f>
        <v>2.1478727798430384E-2</v>
      </c>
      <c r="G77" s="38">
        <f t="shared" si="163"/>
        <v>1.2744911546509358E-2</v>
      </c>
      <c r="H77" s="38">
        <f t="shared" si="163"/>
        <v>-7.8078302450687387E-3</v>
      </c>
      <c r="J77" s="38">
        <f t="shared" ref="J77:L77" si="164">LN(B77/B78)</f>
        <v>2.1251310583357615E-2</v>
      </c>
      <c r="K77" s="38">
        <f t="shared" si="164"/>
        <v>1.266437869555404E-2</v>
      </c>
      <c r="L77" s="38">
        <f t="shared" si="164"/>
        <v>-7.8384709474463802E-3</v>
      </c>
    </row>
    <row r="78" spans="1:12">
      <c r="A78" s="9" t="s">
        <v>320</v>
      </c>
      <c r="B78" s="7">
        <v>24.21</v>
      </c>
      <c r="C78" s="7">
        <v>157.71</v>
      </c>
      <c r="D78" s="41">
        <v>6692</v>
      </c>
      <c r="F78" s="38">
        <f t="shared" ref="F78:H78" si="165">(B78-B79)/B79</f>
        <v>-4.7600314712824575E-2</v>
      </c>
      <c r="G78" s="38">
        <f t="shared" si="165"/>
        <v>2.5422626788036386E-2</v>
      </c>
      <c r="H78" s="38">
        <f t="shared" si="165"/>
        <v>-9.3630879686170017E-3</v>
      </c>
      <c r="J78" s="38">
        <f t="shared" ref="J78:L78" si="166">LN(B78/B79)</f>
        <v>-4.8770494811340874E-2</v>
      </c>
      <c r="K78" s="38">
        <f t="shared" si="166"/>
        <v>2.5104846427922781E-2</v>
      </c>
      <c r="L78" s="38">
        <f t="shared" si="166"/>
        <v>-9.4071972252472644E-3</v>
      </c>
    </row>
    <row r="79" spans="1:12">
      <c r="A79" s="9" t="s">
        <v>323</v>
      </c>
      <c r="B79" s="7">
        <v>25.42</v>
      </c>
      <c r="C79" s="7">
        <v>153.80000000000001</v>
      </c>
      <c r="D79" s="41">
        <v>6755.25</v>
      </c>
      <c r="F79" s="38">
        <f t="shared" ref="F79:H79" si="167">(B79-B80)/B80</f>
        <v>-1.1787819253437164E-3</v>
      </c>
      <c r="G79" s="38">
        <f t="shared" si="167"/>
        <v>-3.7787787787787734E-2</v>
      </c>
      <c r="H79" s="38">
        <f t="shared" si="167"/>
        <v>-7.0266272189349111E-4</v>
      </c>
      <c r="J79" s="38">
        <f t="shared" ref="J79:L79" si="168">LN(B79/B80)</f>
        <v>-1.179477235223655E-3</v>
      </c>
      <c r="K79" s="38">
        <f t="shared" si="168"/>
        <v>-3.8520257828699681E-2</v>
      </c>
      <c r="L79" s="38">
        <f t="shared" si="168"/>
        <v>-7.0290970504783808E-4</v>
      </c>
    </row>
    <row r="80" spans="1:12">
      <c r="A80" s="9" t="s">
        <v>328</v>
      </c>
      <c r="B80" s="7">
        <v>25.45</v>
      </c>
      <c r="C80" s="7">
        <v>159.84</v>
      </c>
      <c r="D80" s="41">
        <v>6760</v>
      </c>
      <c r="F80" s="38">
        <f t="shared" ref="F80:H80" si="169">(B80-B81)/B81</f>
        <v>-4.1070082893745287E-2</v>
      </c>
      <c r="G80" s="38">
        <f t="shared" si="169"/>
        <v>1.2222151858653708E-2</v>
      </c>
      <c r="H80" s="38">
        <f t="shared" si="169"/>
        <v>-1.6834527142493547E-2</v>
      </c>
      <c r="J80" s="38">
        <f t="shared" ref="J80:L80" si="170">LN(B80/B81)</f>
        <v>-4.193728590752966E-2</v>
      </c>
      <c r="K80" s="38">
        <f t="shared" si="170"/>
        <v>1.2148064421691527E-2</v>
      </c>
      <c r="L80" s="38">
        <f t="shared" si="170"/>
        <v>-1.6977838456872691E-2</v>
      </c>
    </row>
    <row r="81" spans="1:12">
      <c r="A81" s="9" t="s">
        <v>333</v>
      </c>
      <c r="B81" s="7">
        <v>26.54</v>
      </c>
      <c r="C81" s="7">
        <v>157.91</v>
      </c>
      <c r="D81" s="41">
        <v>6875.75</v>
      </c>
      <c r="F81" s="38">
        <f t="shared" ref="F81:H81" si="171">(B81-B82)/B82</f>
        <v>2.9081039162466075E-2</v>
      </c>
      <c r="G81" s="38">
        <f t="shared" si="171"/>
        <v>-1.7972636815920488E-2</v>
      </c>
      <c r="H81" s="38">
        <f t="shared" si="171"/>
        <v>6.1849668922360479E-4</v>
      </c>
      <c r="J81" s="38">
        <f t="shared" ref="J81:L81" si="172">LN(B81/B82)</f>
        <v>2.866620901080804E-2</v>
      </c>
      <c r="K81" s="38">
        <f t="shared" si="172"/>
        <v>-1.8136106266314334E-2</v>
      </c>
      <c r="L81" s="38">
        <f t="shared" si="172"/>
        <v>6.1830549897587352E-4</v>
      </c>
    </row>
    <row r="82" spans="1:12">
      <c r="A82" s="9" t="s">
        <v>338</v>
      </c>
      <c r="B82" s="7">
        <v>25.79</v>
      </c>
      <c r="C82" s="7">
        <v>160.80000000000001</v>
      </c>
      <c r="D82" s="41">
        <v>6871.5</v>
      </c>
      <c r="F82" s="38">
        <f t="shared" ref="F82:H82" si="173">(B82-B83)/B83</f>
        <v>7.7609623593323919E-4</v>
      </c>
      <c r="G82" s="38">
        <f t="shared" si="173"/>
        <v>-3.0682982699378959E-2</v>
      </c>
      <c r="H82" s="38">
        <f t="shared" si="173"/>
        <v>2.1511649104896634E-3</v>
      </c>
      <c r="J82" s="38">
        <f t="shared" ref="J82:L82" si="174">LN(B82/B83)</f>
        <v>7.7579522897979153E-4</v>
      </c>
      <c r="K82" s="38">
        <f t="shared" si="174"/>
        <v>-3.1163561359317544E-2</v>
      </c>
      <c r="L82" s="38">
        <f t="shared" si="174"/>
        <v>2.1488544680887778E-3</v>
      </c>
    </row>
    <row r="83" spans="1:12">
      <c r="A83" s="9" t="s">
        <v>341</v>
      </c>
      <c r="B83" s="7">
        <v>25.77</v>
      </c>
      <c r="C83" s="7">
        <v>165.89</v>
      </c>
      <c r="D83" s="41">
        <v>6856.75</v>
      </c>
      <c r="F83" s="38">
        <f t="shared" ref="F83:H83" si="175">(B83-B84)/B84</f>
        <v>-2.0152091254752893E-2</v>
      </c>
      <c r="G83" s="38">
        <f t="shared" si="175"/>
        <v>-2.7053023926897741E-3</v>
      </c>
      <c r="H83" s="38">
        <f t="shared" si="175"/>
        <v>1.5250786600037017E-2</v>
      </c>
      <c r="J83" s="38">
        <f t="shared" ref="J83:L83" si="176">LN(B83/B84)</f>
        <v>-2.0357914519445245E-2</v>
      </c>
      <c r="K83" s="38">
        <f t="shared" si="176"/>
        <v>-2.7089683363578309E-3</v>
      </c>
      <c r="L83" s="38">
        <f t="shared" si="176"/>
        <v>1.5135662368542337E-2</v>
      </c>
    </row>
    <row r="84" spans="1:12">
      <c r="A84" s="9" t="s">
        <v>344</v>
      </c>
      <c r="B84" s="7">
        <v>26.3</v>
      </c>
      <c r="C84" s="7">
        <v>166.34</v>
      </c>
      <c r="D84" s="41">
        <v>6753.75</v>
      </c>
      <c r="F84" s="38">
        <f t="shared" ref="F84:H84" si="177">(B84-B85)/B85</f>
        <v>-2.3031203566121879E-2</v>
      </c>
      <c r="G84" s="38">
        <f t="shared" si="177"/>
        <v>-7.5771135373784984E-3</v>
      </c>
      <c r="H84" s="38">
        <f t="shared" si="177"/>
        <v>9.2626898851426453E-4</v>
      </c>
      <c r="J84" s="38">
        <f t="shared" ref="J84:L84" si="178">LN(B84/B85)</f>
        <v>-2.3300565592808218E-2</v>
      </c>
      <c r="K84" s="38">
        <f t="shared" si="178"/>
        <v>-7.6059656986256514E-3</v>
      </c>
      <c r="L84" s="38">
        <f t="shared" si="178"/>
        <v>9.2584026611587536E-4</v>
      </c>
    </row>
    <row r="85" spans="1:12">
      <c r="A85" s="9" t="s">
        <v>349</v>
      </c>
      <c r="B85" s="7">
        <v>26.92</v>
      </c>
      <c r="C85" s="7">
        <v>167.61</v>
      </c>
      <c r="D85" s="41">
        <v>6747.5</v>
      </c>
      <c r="F85" s="38">
        <f t="shared" ref="F85:H85" si="179">(B85-B86)/B86</f>
        <v>-3.2350826743350054E-2</v>
      </c>
      <c r="G85" s="38">
        <f t="shared" si="179"/>
        <v>1.692755733527497E-2</v>
      </c>
      <c r="H85" s="38">
        <f t="shared" si="179"/>
        <v>-1.1391524119995604E-2</v>
      </c>
      <c r="J85" s="38">
        <f t="shared" ref="J85:L85" si="180">LN(B85/B86)</f>
        <v>-3.2885681718769794E-2</v>
      </c>
      <c r="K85" s="38">
        <f t="shared" si="180"/>
        <v>1.6785882803929709E-2</v>
      </c>
      <c r="L85" s="38">
        <f t="shared" si="180"/>
        <v>-1.145690452676734E-2</v>
      </c>
    </row>
    <row r="86" spans="1:12">
      <c r="A86" s="9" t="s">
        <v>353</v>
      </c>
      <c r="B86" s="7">
        <v>27.82</v>
      </c>
      <c r="C86" s="7">
        <v>164.82</v>
      </c>
      <c r="D86" s="41">
        <v>6825.25</v>
      </c>
      <c r="F86" s="38">
        <f t="shared" ref="F86:H86" si="181">(B86-B87)/B87</f>
        <v>2.0168683535020195E-2</v>
      </c>
      <c r="G86" s="38">
        <f t="shared" si="181"/>
        <v>3.1649421789408509E-3</v>
      </c>
      <c r="H86" s="38">
        <f t="shared" si="181"/>
        <v>3.4549932002793399E-3</v>
      </c>
      <c r="J86" s="38">
        <f t="shared" ref="J86:L86" si="182">LN(B86/B87)</f>
        <v>1.9967989637799631E-2</v>
      </c>
      <c r="K86" s="38">
        <f t="shared" si="182"/>
        <v>3.1599442920149496E-3</v>
      </c>
      <c r="L86" s="38">
        <f t="shared" si="182"/>
        <v>3.4490384231403741E-3</v>
      </c>
    </row>
    <row r="87" spans="1:12">
      <c r="A87" s="9" t="s">
        <v>357</v>
      </c>
      <c r="B87" s="7">
        <v>27.27</v>
      </c>
      <c r="C87" s="7">
        <v>164.3</v>
      </c>
      <c r="D87" s="41">
        <v>6801.75</v>
      </c>
      <c r="F87" s="38">
        <f t="shared" ref="F87:H87" si="183">(B87-B88)/B88</f>
        <v>-7.328691828508455E-4</v>
      </c>
      <c r="G87" s="38">
        <f t="shared" si="183"/>
        <v>-2.0215874530383364E-2</v>
      </c>
      <c r="H87" s="38">
        <f t="shared" si="183"/>
        <v>-1.1768551814318405E-2</v>
      </c>
      <c r="J87" s="38">
        <f t="shared" ref="J87:L87" si="184">LN(B87/B88)</f>
        <v>-7.3313786274995559E-4</v>
      </c>
      <c r="K87" s="38">
        <f t="shared" si="184"/>
        <v>-2.0423011715795653E-2</v>
      </c>
      <c r="L87" s="38">
        <f t="shared" si="184"/>
        <v>-1.183834937144535E-2</v>
      </c>
    </row>
    <row r="88" spans="1:12">
      <c r="A88" s="9" t="s">
        <v>359</v>
      </c>
      <c r="B88" s="7">
        <v>27.29</v>
      </c>
      <c r="C88" s="7">
        <v>167.69</v>
      </c>
      <c r="D88" s="41">
        <v>6882.75</v>
      </c>
      <c r="F88" s="38">
        <f t="shared" ref="F88:H88" si="185">(B88-B89)/B89</f>
        <v>-2.0810907786150048E-2</v>
      </c>
      <c r="G88" s="38">
        <f t="shared" si="185"/>
        <v>-1.6076981752039012E-2</v>
      </c>
      <c r="H88" s="38">
        <f t="shared" si="185"/>
        <v>1.2729124236252546E-3</v>
      </c>
      <c r="J88" s="38">
        <f t="shared" ref="J88:L88" si="186">LN(B88/B89)</f>
        <v>-2.1030506773609781E-2</v>
      </c>
      <c r="K88" s="38">
        <f t="shared" si="186"/>
        <v>-1.6207618478127045E-2</v>
      </c>
      <c r="L88" s="38">
        <f t="shared" si="186"/>
        <v>1.2721029574530329E-3</v>
      </c>
    </row>
    <row r="89" spans="1:12">
      <c r="A89" s="9" t="s">
        <v>363</v>
      </c>
      <c r="B89" s="7">
        <v>27.87</v>
      </c>
      <c r="C89" s="7">
        <v>170.43</v>
      </c>
      <c r="D89" s="41">
        <v>6874</v>
      </c>
      <c r="F89" s="38">
        <f t="shared" ref="F89:H89" si="187">(B89-B90)/B90</f>
        <v>-1.2752391073326229E-2</v>
      </c>
      <c r="G89" s="38">
        <f t="shared" si="187"/>
        <v>-2.0123038003794631E-2</v>
      </c>
      <c r="H89" s="38">
        <f t="shared" si="187"/>
        <v>2.6985631974327184E-3</v>
      </c>
      <c r="J89" s="38">
        <f t="shared" ref="J89:L89" si="188">LN(B89/B90)</f>
        <v>-1.2834400771541132E-2</v>
      </c>
      <c r="K89" s="38">
        <f t="shared" si="188"/>
        <v>-2.0328264182916739E-2</v>
      </c>
      <c r="L89" s="38">
        <f t="shared" si="188"/>
        <v>2.6949286130695826E-3</v>
      </c>
    </row>
    <row r="90" spans="1:12">
      <c r="A90" s="9" t="s">
        <v>366</v>
      </c>
      <c r="B90" s="7">
        <v>28.23</v>
      </c>
      <c r="C90" s="7">
        <v>173.93</v>
      </c>
      <c r="D90" s="41">
        <v>6855.5</v>
      </c>
      <c r="F90" s="38">
        <f t="shared" ref="F90:H90" si="189">(B90-B91)/B91</f>
        <v>-0.13325145839729813</v>
      </c>
      <c r="G90" s="38">
        <f t="shared" si="189"/>
        <v>-3.3561149080402246E-2</v>
      </c>
      <c r="H90" s="38">
        <f t="shared" si="189"/>
        <v>-9.7143476219710371E-3</v>
      </c>
      <c r="J90" s="38">
        <f t="shared" ref="J90:L90" si="190">LN(B90/B91)</f>
        <v>-0.14300637702274416</v>
      </c>
      <c r="K90" s="38">
        <f t="shared" si="190"/>
        <v>-3.4137250913049415E-2</v>
      </c>
      <c r="L90" s="38">
        <f t="shared" si="190"/>
        <v>-9.7618397169291996E-3</v>
      </c>
    </row>
    <row r="91" spans="1:12">
      <c r="A91" s="9" t="s">
        <v>369</v>
      </c>
      <c r="B91" s="7">
        <v>32.57</v>
      </c>
      <c r="C91" s="7">
        <v>179.97</v>
      </c>
      <c r="D91" s="41">
        <v>6922.75</v>
      </c>
      <c r="F91" s="38">
        <f t="shared" ref="F91:H91" si="191">(B91-B92)/B92</f>
        <v>-2.3681055155875274E-2</v>
      </c>
      <c r="G91" s="38">
        <f t="shared" si="191"/>
        <v>1.8390674513354459E-2</v>
      </c>
      <c r="H91" s="38">
        <f t="shared" si="191"/>
        <v>-4.3316608309569359E-4</v>
      </c>
      <c r="J91" s="38">
        <f t="shared" ref="J91:L91" si="192">LN(B91/B92)</f>
        <v>-2.396595820240385E-2</v>
      </c>
      <c r="K91" s="38">
        <f t="shared" si="192"/>
        <v>1.8223611221249637E-2</v>
      </c>
      <c r="L91" s="38">
        <f t="shared" si="192"/>
        <v>-4.3325992662437718E-4</v>
      </c>
    </row>
    <row r="92" spans="1:12">
      <c r="A92" s="9" t="s">
        <v>373</v>
      </c>
      <c r="B92" s="7">
        <v>33.36</v>
      </c>
      <c r="C92" s="7">
        <v>176.72</v>
      </c>
      <c r="D92" s="41">
        <v>6925.75</v>
      </c>
      <c r="F92" s="38">
        <f t="shared" ref="F92:H92" si="193">(B92-B93)/B93</f>
        <v>-1.3601419278533438E-2</v>
      </c>
      <c r="G92" s="38">
        <f t="shared" si="193"/>
        <v>-1.5213151295625466E-2</v>
      </c>
      <c r="H92" s="38">
        <f t="shared" si="193"/>
        <v>2.5332030543191112E-3</v>
      </c>
      <c r="J92" s="38">
        <f t="shared" ref="J92:L92" si="194">LN(B92/B93)</f>
        <v>-1.3694765979888241E-2</v>
      </c>
      <c r="K92" s="38">
        <f t="shared" si="194"/>
        <v>-1.5330058481754521E-2</v>
      </c>
      <c r="L92" s="38">
        <f t="shared" si="194"/>
        <v>2.5299999038085282E-3</v>
      </c>
    </row>
    <row r="93" spans="1:12">
      <c r="A93" s="9" t="s">
        <v>377</v>
      </c>
      <c r="B93" s="7">
        <v>33.82</v>
      </c>
      <c r="C93" s="7">
        <v>179.45</v>
      </c>
      <c r="D93" s="41">
        <v>6908.25</v>
      </c>
      <c r="F93" s="38">
        <f t="shared" ref="F93:H93" si="195">(B93-B94)/B94</f>
        <v>-2.0278099652375516E-2</v>
      </c>
      <c r="G93" s="38">
        <f t="shared" si="195"/>
        <v>2.7189467658843735E-2</v>
      </c>
      <c r="H93" s="38">
        <f t="shared" si="195"/>
        <v>1.1901274351838289E-2</v>
      </c>
      <c r="J93" s="38">
        <f t="shared" ref="J93:L93" si="196">LN(B93/B94)</f>
        <v>-2.0486522744793005E-2</v>
      </c>
      <c r="K93" s="38">
        <f t="shared" si="196"/>
        <v>2.6826400453605438E-2</v>
      </c>
      <c r="L93" s="38">
        <f t="shared" si="196"/>
        <v>1.1831011118174355E-2</v>
      </c>
    </row>
    <row r="94" spans="1:12">
      <c r="A94" s="9" t="s">
        <v>382</v>
      </c>
      <c r="B94" s="7">
        <v>34.520000000000003</v>
      </c>
      <c r="C94" s="7">
        <v>174.7</v>
      </c>
      <c r="D94" s="41">
        <v>6827</v>
      </c>
      <c r="F94" s="38">
        <f t="shared" ref="F94:H94" si="197">(B94-B95)/B95</f>
        <v>1.4995589532490595E-2</v>
      </c>
      <c r="G94" s="38">
        <f t="shared" si="197"/>
        <v>1.6288539848749173E-2</v>
      </c>
      <c r="H94" s="38">
        <f t="shared" si="197"/>
        <v>7.675276752767528E-3</v>
      </c>
      <c r="J94" s="38">
        <f t="shared" ref="J94:L94" si="198">LN(B94/B95)</f>
        <v>1.4884267196123355E-2</v>
      </c>
      <c r="K94" s="38">
        <f t="shared" si="198"/>
        <v>1.6157304751207156E-2</v>
      </c>
      <c r="L94" s="38">
        <f t="shared" si="198"/>
        <v>7.6459716703785961E-3</v>
      </c>
    </row>
    <row r="95" spans="1:12">
      <c r="A95" s="9" t="s">
        <v>386</v>
      </c>
      <c r="B95" s="7">
        <v>34.01</v>
      </c>
      <c r="C95" s="7">
        <v>171.9</v>
      </c>
      <c r="D95" s="41">
        <v>6775</v>
      </c>
      <c r="F95" s="38">
        <f t="shared" ref="F95:H95" si="199">(B95-B96)/B96</f>
        <v>3.8790470372632738E-2</v>
      </c>
      <c r="G95" s="38">
        <f t="shared" si="199"/>
        <v>3.641625467261541E-2</v>
      </c>
      <c r="H95" s="38">
        <f t="shared" si="199"/>
        <v>5.6404928009499778E-3</v>
      </c>
      <c r="J95" s="38">
        <f t="shared" ref="J95:L95" si="200">LN(B95/B96)</f>
        <v>3.8057027076115107E-2</v>
      </c>
      <c r="K95" s="38">
        <f t="shared" si="200"/>
        <v>3.5768853365745874E-2</v>
      </c>
      <c r="L95" s="38">
        <f t="shared" si="200"/>
        <v>5.6246447872417404E-3</v>
      </c>
    </row>
    <row r="96" spans="1:12">
      <c r="A96" s="9" t="s">
        <v>390</v>
      </c>
      <c r="B96" s="7">
        <v>32.74</v>
      </c>
      <c r="C96" s="7">
        <v>165.86</v>
      </c>
      <c r="D96" s="41">
        <v>6737</v>
      </c>
      <c r="F96" s="38">
        <f t="shared" ref="F96:H96" si="201">(B96-B97)/B97</f>
        <v>1.6770186335403697E-2</v>
      </c>
      <c r="G96" s="38">
        <f t="shared" si="201"/>
        <v>-4.8599028019438049E-3</v>
      </c>
      <c r="H96" s="38">
        <f t="shared" si="201"/>
        <v>-5.3519359244085189E-3</v>
      </c>
      <c r="J96" s="38">
        <f t="shared" ref="J96:L96" si="202">LN(B96/B97)</f>
        <v>1.6631119392626223E-2</v>
      </c>
      <c r="K96" s="38">
        <f t="shared" si="202"/>
        <v>-4.8717505310268885E-3</v>
      </c>
      <c r="L96" s="38">
        <f t="shared" si="202"/>
        <v>-5.3663088383579969E-3</v>
      </c>
    </row>
    <row r="97" spans="1:12">
      <c r="A97" s="9" t="s">
        <v>395</v>
      </c>
      <c r="B97" s="7">
        <v>32.200000000000003</v>
      </c>
      <c r="C97" s="7">
        <v>166.67</v>
      </c>
      <c r="D97" s="41">
        <v>6773.25</v>
      </c>
      <c r="F97" s="38">
        <f t="shared" ref="F97:H97" si="203">(B97-B98)/B98</f>
        <v>4.3760129659643481E-2</v>
      </c>
      <c r="G97" s="38">
        <f t="shared" si="203"/>
        <v>-3.9199861647547192E-2</v>
      </c>
      <c r="H97" s="38">
        <f t="shared" si="203"/>
        <v>-7.3814356892415572E-5</v>
      </c>
      <c r="J97" s="38">
        <f t="shared" ref="J97:L97" si="204">LN(B97/B98)</f>
        <v>4.2829702198965848E-2</v>
      </c>
      <c r="K97" s="38">
        <f t="shared" si="204"/>
        <v>-3.9988864219232902E-2</v>
      </c>
      <c r="L97" s="38">
        <f t="shared" si="204"/>
        <v>-7.3817081306175187E-5</v>
      </c>
    </row>
    <row r="98" spans="1:12">
      <c r="A98" s="9" t="s">
        <v>397</v>
      </c>
      <c r="B98" s="7">
        <v>30.85</v>
      </c>
      <c r="C98" s="7">
        <v>173.47</v>
      </c>
      <c r="D98" s="41">
        <v>6773.75</v>
      </c>
      <c r="F98" s="38">
        <f t="shared" ref="F98:H98" si="205">(B98-B99)/B99</f>
        <v>1.9834710743801699E-2</v>
      </c>
      <c r="G98" s="38">
        <f t="shared" si="205"/>
        <v>3.843160730320256E-2</v>
      </c>
      <c r="H98" s="38">
        <f t="shared" si="205"/>
        <v>1.063036180529653E-2</v>
      </c>
      <c r="J98" s="38">
        <f t="shared" ref="J98:L98" si="206">LN(B98/B99)</f>
        <v>1.9640565874546417E-2</v>
      </c>
      <c r="K98" s="38">
        <f t="shared" si="206"/>
        <v>3.7711504970551889E-2</v>
      </c>
      <c r="L98" s="38">
        <f t="shared" si="206"/>
        <v>1.0574256770209602E-2</v>
      </c>
    </row>
    <row r="99" spans="1:12">
      <c r="A99" s="9" t="s">
        <v>399</v>
      </c>
      <c r="B99" s="7">
        <v>30.25</v>
      </c>
      <c r="C99" s="7">
        <v>167.05</v>
      </c>
      <c r="D99" s="41">
        <v>6702.5</v>
      </c>
      <c r="F99" s="38">
        <f t="shared" ref="F99:H99" si="207">(B99-B100)/B100</f>
        <v>-1.3205678441729663E-3</v>
      </c>
      <c r="G99" s="38">
        <f t="shared" si="207"/>
        <v>1.1872312072203088E-2</v>
      </c>
      <c r="H99" s="38">
        <f t="shared" si="207"/>
        <v>5.0609184629803183E-3</v>
      </c>
      <c r="J99" s="38">
        <f t="shared" ref="J99:L99" si="208">LN(B99/B100)</f>
        <v>-1.3214405622954738E-3</v>
      </c>
      <c r="K99" s="38">
        <f t="shared" si="208"/>
        <v>1.1802389062988449E-2</v>
      </c>
      <c r="L99" s="38">
        <f t="shared" si="208"/>
        <v>5.0481550600509463E-3</v>
      </c>
    </row>
    <row r="100" spans="1:12">
      <c r="A100" s="9" t="s">
        <v>403</v>
      </c>
      <c r="B100" s="7">
        <v>30.29</v>
      </c>
      <c r="C100" s="7">
        <v>165.09</v>
      </c>
      <c r="D100" s="41">
        <v>6668.75</v>
      </c>
      <c r="F100" s="38">
        <f t="shared" ref="F100:H100" si="209">(B100-B101)/B101</f>
        <v>-5.2545155993431901E-3</v>
      </c>
      <c r="G100" s="38">
        <f t="shared" si="209"/>
        <v>-4.9424386715688816E-3</v>
      </c>
      <c r="H100" s="38">
        <f t="shared" si="209"/>
        <v>-6.8875651526433355E-3</v>
      </c>
      <c r="J100" s="38">
        <f t="shared" ref="J100:L100" si="210">LN(B100/B101)</f>
        <v>-5.268369116760113E-3</v>
      </c>
      <c r="K100" s="38">
        <f t="shared" si="210"/>
        <v>-4.9546929154867898E-3</v>
      </c>
      <c r="L100" s="38">
        <f t="shared" si="210"/>
        <v>-6.9113939072744431E-3</v>
      </c>
    </row>
    <row r="101" spans="1:12">
      <c r="A101" s="9" t="s">
        <v>407</v>
      </c>
      <c r="B101" s="7">
        <v>30.45</v>
      </c>
      <c r="C101" s="7">
        <v>165.91</v>
      </c>
      <c r="D101" s="41">
        <v>6715</v>
      </c>
      <c r="F101" s="38">
        <f t="shared" ref="F101:H101" si="211">(B101-B102)/B102</f>
        <v>-2.620373403210018E-3</v>
      </c>
      <c r="G101" s="38">
        <f t="shared" si="211"/>
        <v>1.8727741618567988E-2</v>
      </c>
      <c r="H101" s="38">
        <f t="shared" si="211"/>
        <v>4.2623195991924028E-3</v>
      </c>
      <c r="J101" s="38">
        <f t="shared" ref="J101:L101" si="212">LN(B101/B102)</f>
        <v>-2.6238125908804636E-3</v>
      </c>
      <c r="K101" s="38">
        <f t="shared" si="212"/>
        <v>1.8554536616278684E-2</v>
      </c>
      <c r="L101" s="38">
        <f t="shared" si="212"/>
        <v>4.25326164448673E-3</v>
      </c>
    </row>
    <row r="102" spans="1:12">
      <c r="A102" s="9" t="s">
        <v>409</v>
      </c>
      <c r="B102" s="7">
        <v>30.53</v>
      </c>
      <c r="C102" s="7">
        <v>162.86000000000001</v>
      </c>
      <c r="D102" s="41">
        <v>6686.5</v>
      </c>
      <c r="F102" s="38">
        <f t="shared" ref="F102:H102" si="213">(B102-B103)/B103</f>
        <v>4.2335268009559647E-2</v>
      </c>
      <c r="G102" s="38">
        <f t="shared" si="213"/>
        <v>-2.3679635513458357E-2</v>
      </c>
      <c r="H102" s="38">
        <f t="shared" si="213"/>
        <v>-1.2323088987639568E-3</v>
      </c>
      <c r="J102" s="38">
        <f t="shared" ref="J102:L102" si="214">LN(B102/B103)</f>
        <v>4.1463645907144457E-2</v>
      </c>
      <c r="K102" s="38">
        <f t="shared" si="214"/>
        <v>-2.3964504126978682E-2</v>
      </c>
      <c r="L102" s="38">
        <f t="shared" si="214"/>
        <v>-1.2330688157406867E-3</v>
      </c>
    </row>
    <row r="103" spans="1:12">
      <c r="A103" s="9" t="s">
        <v>411</v>
      </c>
      <c r="B103" s="7">
        <v>29.29</v>
      </c>
      <c r="C103" s="7">
        <v>166.81</v>
      </c>
      <c r="D103" s="41">
        <v>6694.75</v>
      </c>
      <c r="F103" s="38">
        <f t="shared" ref="F103:H103" si="215">(B103-B104)/B104</f>
        <v>2.0202020202020141E-2</v>
      </c>
      <c r="G103" s="38">
        <f t="shared" si="215"/>
        <v>4.9053518646626069E-2</v>
      </c>
      <c r="H103" s="38">
        <f t="shared" si="215"/>
        <v>1.5086615367120276E-2</v>
      </c>
      <c r="J103" s="38">
        <f t="shared" ref="J103:L103" si="216">LN(B103/B104)</f>
        <v>2.0000666706669435E-2</v>
      </c>
      <c r="K103" s="38">
        <f t="shared" si="216"/>
        <v>4.7888346841658574E-2</v>
      </c>
      <c r="L103" s="38">
        <f t="shared" si="216"/>
        <v>1.4973944189962245E-2</v>
      </c>
    </row>
    <row r="104" spans="1:12">
      <c r="A104" s="9" t="s">
        <v>414</v>
      </c>
      <c r="B104" s="7">
        <v>28.71</v>
      </c>
      <c r="C104" s="7">
        <v>159.01</v>
      </c>
      <c r="D104" s="41">
        <v>6595.25</v>
      </c>
      <c r="F104" s="38">
        <f t="shared" ref="F104:H104" si="217">(B104-B105)/B105</f>
        <v>-4.1722296395193592E-2</v>
      </c>
      <c r="G104" s="38">
        <f t="shared" si="217"/>
        <v>-8.4465684016582304E-2</v>
      </c>
      <c r="H104" s="38">
        <f t="shared" si="217"/>
        <v>-2.7141645462256149E-2</v>
      </c>
      <c r="J104" s="38">
        <f t="shared" ref="J104:L104" si="218">LN(B104/B105)</f>
        <v>-4.2617664516046087E-2</v>
      </c>
      <c r="K104" s="38">
        <f t="shared" si="218"/>
        <v>-8.8247432245730881E-2</v>
      </c>
      <c r="L104" s="38">
        <f t="shared" si="218"/>
        <v>-2.7516783408000258E-2</v>
      </c>
    </row>
    <row r="105" spans="1:12">
      <c r="A105" s="9" t="s">
        <v>419</v>
      </c>
      <c r="B105" s="7">
        <v>29.96</v>
      </c>
      <c r="C105" s="7">
        <v>173.68</v>
      </c>
      <c r="D105" s="41">
        <v>6779.25</v>
      </c>
      <c r="F105" s="38">
        <f t="shared" ref="F105:H105" si="219">(B105-B106)/B106</f>
        <v>-7.6184166942696394E-3</v>
      </c>
      <c r="G105" s="38">
        <f t="shared" si="219"/>
        <v>-4.1077738515901047E-2</v>
      </c>
      <c r="H105" s="38">
        <f t="shared" si="219"/>
        <v>-3.2346995037676896E-3</v>
      </c>
      <c r="J105" s="38">
        <f t="shared" ref="J105:L105" si="220">LN(B105/B106)</f>
        <v>-7.6475850697287377E-3</v>
      </c>
      <c r="K105" s="38">
        <f t="shared" si="220"/>
        <v>-4.1945269444781663E-2</v>
      </c>
      <c r="L105" s="38">
        <f t="shared" si="220"/>
        <v>-3.2399424535050538E-3</v>
      </c>
    </row>
    <row r="106" spans="1:12">
      <c r="A106" s="9" t="s">
        <v>421</v>
      </c>
      <c r="B106" s="7">
        <v>30.19</v>
      </c>
      <c r="C106" s="7">
        <v>181.12</v>
      </c>
      <c r="D106" s="41">
        <v>6801.25</v>
      </c>
      <c r="F106" s="38">
        <f t="shared" ref="F106:H106" si="221">(B106-B107)/B107</f>
        <v>9.3614175860916461E-3</v>
      </c>
      <c r="G106" s="38">
        <f t="shared" si="221"/>
        <v>-1.1581095240721774E-3</v>
      </c>
      <c r="H106" s="38">
        <f t="shared" si="221"/>
        <v>5.8788730311321452E-3</v>
      </c>
      <c r="J106" s="38">
        <f t="shared" ref="J106:L106" si="222">LN(B106/B107)</f>
        <v>9.3178710768908306E-3</v>
      </c>
      <c r="K106" s="38">
        <f t="shared" si="222"/>
        <v>-1.1587806511161296E-3</v>
      </c>
      <c r="L106" s="38">
        <f t="shared" si="222"/>
        <v>5.8616598867205581E-3</v>
      </c>
    </row>
    <row r="107" spans="1:12">
      <c r="A107" s="9" t="s">
        <v>424</v>
      </c>
      <c r="B107" s="7">
        <v>29.91</v>
      </c>
      <c r="C107" s="7">
        <v>181.33</v>
      </c>
      <c r="D107" s="41">
        <v>6761.5</v>
      </c>
      <c r="F107" s="38">
        <f t="shared" ref="F107:H107" si="223">(B107-B108)/B108</f>
        <v>-2.0628683693516666E-2</v>
      </c>
      <c r="G107" s="38">
        <f t="shared" si="223"/>
        <v>-3.1460314069009648E-2</v>
      </c>
      <c r="H107" s="38">
        <f t="shared" si="223"/>
        <v>-4.013993739642791E-3</v>
      </c>
      <c r="J107" s="38">
        <f t="shared" ref="J107:L107" si="224">LN(B107/B108)</f>
        <v>-2.0844427148629691E-2</v>
      </c>
      <c r="K107" s="38">
        <f t="shared" si="224"/>
        <v>-3.1965820277664279E-2</v>
      </c>
      <c r="L107" s="38">
        <f t="shared" si="224"/>
        <v>-4.0220714356405838E-3</v>
      </c>
    </row>
    <row r="108" spans="1:12">
      <c r="A108" s="9" t="s">
        <v>427</v>
      </c>
      <c r="B108" s="7">
        <v>30.54</v>
      </c>
      <c r="C108" s="7">
        <v>187.22</v>
      </c>
      <c r="D108" s="41">
        <v>6788.75</v>
      </c>
      <c r="F108" s="38">
        <f t="shared" ref="F108:H108" si="225">(B108-B109)/B109</f>
        <v>-5.6242274412855384E-2</v>
      </c>
      <c r="G108" s="38">
        <f t="shared" si="225"/>
        <v>-4.3078232196989965E-3</v>
      </c>
      <c r="H108" s="38">
        <f t="shared" si="225"/>
        <v>3.6590774689532822E-3</v>
      </c>
      <c r="J108" s="38">
        <f t="shared" ref="J108:L108" si="226">LN(B108/B109)</f>
        <v>-5.7885792399804528E-2</v>
      </c>
      <c r="K108" s="38">
        <f t="shared" si="226"/>
        <v>-4.3171286237846064E-3</v>
      </c>
      <c r="L108" s="38">
        <f t="shared" si="226"/>
        <v>3.6523993305841631E-3</v>
      </c>
    </row>
    <row r="109" spans="1:12">
      <c r="A109" s="9" t="s">
        <v>429</v>
      </c>
      <c r="B109" s="7">
        <v>32.36</v>
      </c>
      <c r="C109" s="7">
        <v>188.03</v>
      </c>
      <c r="D109" s="41">
        <v>6764</v>
      </c>
      <c r="F109" s="38">
        <f t="shared" ref="F109:H109" si="227">(B109-B110)/B110</f>
        <v>2.7889680818096157E-3</v>
      </c>
      <c r="G109" s="38">
        <f t="shared" si="227"/>
        <v>-6.9187704658286798E-3</v>
      </c>
      <c r="H109" s="38">
        <f t="shared" si="227"/>
        <v>-4.0639893597369491E-4</v>
      </c>
      <c r="J109" s="38">
        <f t="shared" ref="J109:L109" si="228">LN(B109/B110)</f>
        <v>2.785086126420372E-3</v>
      </c>
      <c r="K109" s="38">
        <f t="shared" si="228"/>
        <v>-6.9428161333619778E-3</v>
      </c>
      <c r="L109" s="38">
        <f t="shared" si="228"/>
        <v>-4.0648153840174841E-4</v>
      </c>
    </row>
    <row r="110" spans="1:12">
      <c r="A110" s="9" t="s">
        <v>433</v>
      </c>
      <c r="B110" s="7">
        <v>32.270000000000003</v>
      </c>
      <c r="C110" s="7">
        <v>189.34</v>
      </c>
      <c r="D110" s="41">
        <v>6766.75</v>
      </c>
      <c r="F110" s="38">
        <f t="shared" ref="F110:H110" si="229">(B110-B111)/B111</f>
        <v>-1.9744835965978084E-2</v>
      </c>
      <c r="G110" s="38">
        <f t="shared" si="229"/>
        <v>3.5890141153299061E-2</v>
      </c>
      <c r="H110" s="38">
        <f t="shared" si="229"/>
        <v>7.7645492864009461E-4</v>
      </c>
      <c r="J110" s="38">
        <f t="shared" ref="J110:L110" si="230">LN(B110/B111)</f>
        <v>-1.9942369744998568E-2</v>
      </c>
      <c r="K110" s="38">
        <f t="shared" si="230"/>
        <v>3.5261096856689558E-2</v>
      </c>
      <c r="L110" s="38">
        <f t="shared" si="230"/>
        <v>7.761536434582535E-4</v>
      </c>
    </row>
    <row r="111" spans="1:12">
      <c r="A111" s="9" t="s">
        <v>437</v>
      </c>
      <c r="B111" s="7">
        <v>32.92</v>
      </c>
      <c r="C111" s="7">
        <v>182.78</v>
      </c>
      <c r="D111" s="41">
        <v>6761.5</v>
      </c>
      <c r="F111" s="38">
        <f t="shared" ref="F111:H111" si="231">(B111-B112)/B112</f>
        <v>1.4483821263482244E-2</v>
      </c>
      <c r="G111" s="38">
        <f t="shared" si="231"/>
        <v>2.2659878028310924E-2</v>
      </c>
      <c r="H111" s="38">
        <f t="shared" si="231"/>
        <v>3.3759970320905212E-3</v>
      </c>
      <c r="J111" s="38">
        <f t="shared" ref="J111:L111" si="232">LN(B111/B112)</f>
        <v>1.4379932658770135E-2</v>
      </c>
      <c r="K111" s="38">
        <f t="shared" si="232"/>
        <v>2.2406956641768463E-2</v>
      </c>
      <c r="L111" s="38">
        <f t="shared" si="232"/>
        <v>3.3703111475360602E-3</v>
      </c>
    </row>
    <row r="112" spans="1:12">
      <c r="A112" s="9" t="s">
        <v>441</v>
      </c>
      <c r="B112" s="7">
        <v>32.450000000000003</v>
      </c>
      <c r="C112" s="7">
        <v>178.73</v>
      </c>
      <c r="D112" s="41">
        <v>6738.75</v>
      </c>
      <c r="F112" s="38">
        <f t="shared" ref="F112:H112" si="233">(B112-B113)/B113</f>
        <v>1.5432098765433416E-3</v>
      </c>
      <c r="G112" s="38">
        <f t="shared" si="233"/>
        <v>-6.5036131183991985E-3</v>
      </c>
      <c r="H112" s="38">
        <f t="shared" si="233"/>
        <v>3.7610784240709018E-3</v>
      </c>
      <c r="J112" s="38">
        <f t="shared" ref="J112:L112" si="234">LN(B112/B113)</f>
        <v>1.5420203518154184E-3</v>
      </c>
      <c r="K112" s="38">
        <f t="shared" si="234"/>
        <v>-6.5248537542003208E-3</v>
      </c>
      <c r="L112" s="38">
        <f t="shared" si="234"/>
        <v>3.754023253115712E-3</v>
      </c>
    </row>
    <row r="113" spans="1:12">
      <c r="A113" s="9" t="s">
        <v>444</v>
      </c>
      <c r="B113" s="7">
        <v>32.4</v>
      </c>
      <c r="C113" s="7">
        <v>179.9</v>
      </c>
      <c r="D113" s="41">
        <v>6713.5</v>
      </c>
      <c r="F113" s="38">
        <f t="shared" ref="F113:H113" si="235">(B113-B114)/B114</f>
        <v>-2.8194361127774587E-2</v>
      </c>
      <c r="G113" s="38">
        <f t="shared" si="235"/>
        <v>4.647780815543022E-2</v>
      </c>
      <c r="H113" s="38">
        <f t="shared" si="235"/>
        <v>2.5386395878443965E-3</v>
      </c>
      <c r="J113" s="38">
        <f t="shared" ref="J113:L113" si="236">LN(B113/B114)</f>
        <v>-2.8599454524364427E-2</v>
      </c>
      <c r="K113" s="38">
        <f t="shared" si="236"/>
        <v>4.5430056903085325E-2</v>
      </c>
      <c r="L113" s="38">
        <f t="shared" si="236"/>
        <v>2.5354226855859728E-3</v>
      </c>
    </row>
    <row r="114" spans="1:12">
      <c r="A114" s="9" t="s">
        <v>446</v>
      </c>
      <c r="B114" s="7">
        <v>33.340000000000003</v>
      </c>
      <c r="C114" s="7">
        <v>171.91</v>
      </c>
      <c r="D114" s="41">
        <v>6696.5</v>
      </c>
      <c r="F114" s="38">
        <f t="shared" ref="F114:H114" si="237">(B114-B115)/B115</f>
        <v>3.6691542288557429E-2</v>
      </c>
      <c r="G114" s="38">
        <f t="shared" si="237"/>
        <v>-2.0288368382059625E-2</v>
      </c>
      <c r="H114" s="38">
        <f t="shared" si="237"/>
        <v>5.5182251586020498E-3</v>
      </c>
      <c r="J114" s="38">
        <f t="shared" ref="J114:L114" si="238">LN(B114/B115)</f>
        <v>3.603443301188252E-2</v>
      </c>
      <c r="K114" s="38">
        <f t="shared" si="238"/>
        <v>-2.0497004069641944E-2</v>
      </c>
      <c r="L114" s="38">
        <f t="shared" si="238"/>
        <v>5.5030555348305962E-3</v>
      </c>
    </row>
    <row r="115" spans="1:12">
      <c r="A115" s="9" t="s">
        <v>450</v>
      </c>
      <c r="B115" s="7">
        <v>32.159999999999997</v>
      </c>
      <c r="C115" s="7">
        <v>175.47</v>
      </c>
      <c r="D115" s="41">
        <v>6659.75</v>
      </c>
      <c r="F115" s="38">
        <f t="shared" ref="F115:H115" si="239">(B115-B116)/B116</f>
        <v>-8.0197409006787512E-3</v>
      </c>
      <c r="G115" s="38">
        <f t="shared" si="239"/>
        <v>-5.4976195873951425E-3</v>
      </c>
      <c r="H115" s="38">
        <f t="shared" si="239"/>
        <v>-4.8563637042848074E-3</v>
      </c>
      <c r="J115" s="38">
        <f t="shared" ref="J115:L115" si="240">LN(B115/B116)</f>
        <v>-8.052071996764526E-3</v>
      </c>
      <c r="K115" s="38">
        <f t="shared" si="240"/>
        <v>-5.5127871136948659E-3</v>
      </c>
      <c r="L115" s="38">
        <f t="shared" si="240"/>
        <v>-4.868194156024179E-3</v>
      </c>
    </row>
    <row r="116" spans="1:12">
      <c r="A116" s="9" t="s">
        <v>453</v>
      </c>
      <c r="B116" s="7">
        <v>32.42</v>
      </c>
      <c r="C116" s="7">
        <v>176.44</v>
      </c>
      <c r="D116" s="41">
        <v>6692.25</v>
      </c>
      <c r="F116" s="38">
        <f t="shared" ref="F116:H116" si="241">(B116-B117)/B117</f>
        <v>1.5028177833437708E-2</v>
      </c>
      <c r="G116" s="38">
        <f t="shared" si="241"/>
        <v>8.1922982585234144E-2</v>
      </c>
      <c r="H116" s="38">
        <f t="shared" si="241"/>
        <v>-3.3879374534623976E-3</v>
      </c>
      <c r="J116" s="38">
        <f t="shared" ref="J116:L116" si="242">LN(B116/B117)</f>
        <v>1.4916373520663766E-2</v>
      </c>
      <c r="K116" s="38">
        <f t="shared" si="242"/>
        <v>7.8739997285686217E-2</v>
      </c>
      <c r="L116" s="38">
        <f t="shared" si="242"/>
        <v>-3.3936895089674898E-3</v>
      </c>
    </row>
    <row r="117" spans="1:12">
      <c r="A117" s="9" t="s">
        <v>455</v>
      </c>
      <c r="B117" s="7">
        <v>31.94</v>
      </c>
      <c r="C117" s="7">
        <v>163.08000000000001</v>
      </c>
      <c r="D117" s="41">
        <v>6715</v>
      </c>
      <c r="F117" s="38">
        <f t="shared" ref="F117:H117" si="243">(B117-B118)/B118</f>
        <v>-1.1145510835913187E-2</v>
      </c>
      <c r="G117" s="38">
        <f t="shared" si="243"/>
        <v>-7.123287671232801E-3</v>
      </c>
      <c r="H117" s="38">
        <f t="shared" si="243"/>
        <v>-5.5534987041836355E-3</v>
      </c>
      <c r="J117" s="38">
        <f t="shared" ref="J117:L117" si="244">LN(B117/B118)</f>
        <v>-1.1208087441744364E-2</v>
      </c>
      <c r="K117" s="38">
        <f t="shared" si="244"/>
        <v>-7.1487794136671874E-3</v>
      </c>
      <c r="L117" s="38">
        <f t="shared" si="244"/>
        <v>-5.5689767094326999E-3</v>
      </c>
    </row>
    <row r="118" spans="1:12">
      <c r="A118" s="9" t="s">
        <v>458</v>
      </c>
      <c r="B118" s="7">
        <v>32.299999999999997</v>
      </c>
      <c r="C118" s="7">
        <v>164.25</v>
      </c>
      <c r="D118" s="41">
        <v>6752.5</v>
      </c>
      <c r="F118" s="38">
        <f t="shared" ref="F118:H118" si="245">(B118-B119)/B119</f>
        <v>6.8578553615959749E-3</v>
      </c>
      <c r="G118" s="38">
        <f t="shared" si="245"/>
        <v>8.8446655610834573E-3</v>
      </c>
      <c r="H118" s="38">
        <f t="shared" si="245"/>
        <v>1.4076173227187537E-2</v>
      </c>
      <c r="J118" s="38">
        <f t="shared" ref="J118:L118" si="246">LN(B118/B119)</f>
        <v>6.8344472302969894E-3</v>
      </c>
      <c r="K118" s="38">
        <f t="shared" si="246"/>
        <v>8.8057806212967042E-3</v>
      </c>
      <c r="L118" s="38">
        <f t="shared" si="246"/>
        <v>1.39780238733368E-2</v>
      </c>
    </row>
    <row r="119" spans="1:12">
      <c r="A119" s="9" t="s">
        <v>460</v>
      </c>
      <c r="B119" s="7">
        <v>32.08</v>
      </c>
      <c r="C119" s="7">
        <v>162.81</v>
      </c>
      <c r="D119" s="41">
        <v>6658.77</v>
      </c>
      <c r="F119" s="38">
        <f t="shared" ref="F119:H119" si="247">(B119-B120)/B120</f>
        <v>-3.8945476333133736E-2</v>
      </c>
      <c r="G119" s="38">
        <f t="shared" si="247"/>
        <v>2.0310192023634448E-3</v>
      </c>
      <c r="H119" s="38">
        <f t="shared" si="247"/>
        <v>3.582516955538875E-3</v>
      </c>
      <c r="J119" s="38">
        <f t="shared" ref="J119:L119" si="248">LN(B119/B120)</f>
        <v>-3.9724135235375387E-2</v>
      </c>
      <c r="K119" s="38">
        <f t="shared" si="248"/>
        <v>2.028959471293907E-3</v>
      </c>
      <c r="L119" s="38">
        <f t="shared" si="248"/>
        <v>3.5761150271257998E-3</v>
      </c>
    </row>
    <row r="120" spans="1:12">
      <c r="A120" s="9" t="s">
        <v>462</v>
      </c>
      <c r="B120" s="7">
        <v>33.380000000000003</v>
      </c>
      <c r="C120" s="7">
        <v>162.47999999999999</v>
      </c>
      <c r="D120" s="41">
        <v>6635</v>
      </c>
      <c r="F120" s="38">
        <f t="shared" ref="F120:H120" si="249">(B120-B121)/B121</f>
        <v>3.6079374624174549E-3</v>
      </c>
      <c r="G120" s="38">
        <f t="shared" si="249"/>
        <v>-2.2206174399711127E-2</v>
      </c>
      <c r="H120" s="38">
        <f t="shared" si="249"/>
        <v>5.1126680552925586E-3</v>
      </c>
      <c r="J120" s="38">
        <f t="shared" ref="J120:L120" si="250">LN(B120/B121)</f>
        <v>3.6014444689074698E-3</v>
      </c>
      <c r="K120" s="38">
        <f t="shared" si="250"/>
        <v>-2.2456443440993016E-2</v>
      </c>
      <c r="L120" s="38">
        <f t="shared" si="250"/>
        <v>5.0996427451650561E-3</v>
      </c>
    </row>
    <row r="121" spans="1:12">
      <c r="A121" s="9" t="s">
        <v>465</v>
      </c>
      <c r="B121" s="7">
        <v>33.26</v>
      </c>
      <c r="C121" s="7">
        <v>166.17</v>
      </c>
      <c r="D121" s="41">
        <v>6601.25</v>
      </c>
      <c r="F121" s="38">
        <f t="shared" ref="F121:H121" si="251">(B121-B122)/B122</f>
        <v>-6.2742754705706859E-3</v>
      </c>
      <c r="G121" s="38">
        <f t="shared" si="251"/>
        <v>2.4412798224523639E-2</v>
      </c>
      <c r="H121" s="38">
        <f t="shared" si="251"/>
        <v>-1.4370532844230988E-3</v>
      </c>
      <c r="J121" s="38">
        <f t="shared" ref="J121:L121" si="252">LN(B121/B122)</f>
        <v>-6.2940414584536537E-3</v>
      </c>
      <c r="K121" s="38">
        <f t="shared" si="252"/>
        <v>2.4119568651098978E-2</v>
      </c>
      <c r="L121" s="38">
        <f t="shared" si="252"/>
        <v>-1.4380868357918486E-3</v>
      </c>
    </row>
    <row r="122" spans="1:12">
      <c r="A122" s="9" t="s">
        <v>468</v>
      </c>
      <c r="B122" s="7">
        <v>33.47</v>
      </c>
      <c r="C122" s="7">
        <v>162.21</v>
      </c>
      <c r="D122" s="41">
        <v>6610.75</v>
      </c>
      <c r="F122" s="38">
        <f t="shared" ref="F122:H122" si="253">(B122-B123)/B123</f>
        <v>5.1051051051051568E-3</v>
      </c>
      <c r="G122" s="38">
        <f t="shared" si="253"/>
        <v>2.6385725132877853E-2</v>
      </c>
      <c r="H122" s="38">
        <f t="shared" si="253"/>
        <v>-1.6234992071282942E-3</v>
      </c>
      <c r="J122" s="38">
        <f t="shared" ref="J122:L122" si="254">LN(B122/B123)</f>
        <v>5.0921182368371945E-3</v>
      </c>
      <c r="K122" s="38">
        <f t="shared" si="254"/>
        <v>2.6043626518833282E-2</v>
      </c>
      <c r="L122" s="38">
        <f t="shared" si="254"/>
        <v>-1.6248185100843384E-3</v>
      </c>
    </row>
    <row r="123" spans="1:12">
      <c r="A123" s="9" t="s">
        <v>471</v>
      </c>
      <c r="B123" s="7">
        <v>33.299999999999997</v>
      </c>
      <c r="C123" s="7">
        <v>158.04</v>
      </c>
      <c r="D123" s="41">
        <v>6621.5</v>
      </c>
      <c r="F123" s="38">
        <f t="shared" ref="F123:H123" si="255">(B123-B124)/B124</f>
        <v>1.9595835884874485E-2</v>
      </c>
      <c r="G123" s="38">
        <f t="shared" si="255"/>
        <v>1.9218367083709467E-2</v>
      </c>
      <c r="H123" s="38">
        <f t="shared" si="255"/>
        <v>5.0468637346791634E-3</v>
      </c>
      <c r="J123" s="38">
        <f t="shared" ref="J123:L123" si="256">LN(B123/B124)</f>
        <v>1.9406309444079083E-2</v>
      </c>
      <c r="K123" s="38">
        <f t="shared" si="256"/>
        <v>1.9036026752376881E-2</v>
      </c>
      <c r="L123" s="38">
        <f t="shared" si="256"/>
        <v>5.0341710056376592E-3</v>
      </c>
    </row>
    <row r="124" spans="1:12">
      <c r="A124" s="9" t="s">
        <v>475</v>
      </c>
      <c r="B124" s="7">
        <v>32.659999999999997</v>
      </c>
      <c r="C124" s="7">
        <v>155.06</v>
      </c>
      <c r="D124" s="41">
        <v>6588.25</v>
      </c>
      <c r="F124" s="38">
        <f t="shared" ref="F124:H124" si="257">(B124-B125)/B125</f>
        <v>-3.5440047253396424E-2</v>
      </c>
      <c r="G124" s="38">
        <f t="shared" si="257"/>
        <v>-2.4446731857951328E-3</v>
      </c>
      <c r="H124" s="38">
        <f t="shared" si="257"/>
        <v>-6.4467197572999624E-4</v>
      </c>
      <c r="J124" s="38">
        <f t="shared" ref="J124:L124" si="258">LN(B124/B125)</f>
        <v>-3.6083289162670312E-2</v>
      </c>
      <c r="K124" s="38">
        <f t="shared" si="258"/>
        <v>-2.4476662783716346E-3</v>
      </c>
      <c r="L124" s="38">
        <f t="shared" si="258"/>
        <v>-6.4487986606036535E-4</v>
      </c>
    </row>
    <row r="125" spans="1:12">
      <c r="A125" s="9" t="s">
        <v>479</v>
      </c>
      <c r="B125" s="7">
        <v>33.86</v>
      </c>
      <c r="C125" s="7">
        <v>155.44</v>
      </c>
      <c r="D125" s="41">
        <v>6592.5</v>
      </c>
      <c r="F125" s="38">
        <f t="shared" ref="F125:H125" si="259">(B125-B126)/B126</f>
        <v>5.482866043613701E-2</v>
      </c>
      <c r="G125" s="38">
        <f t="shared" si="259"/>
        <v>7.9969429583825399E-2</v>
      </c>
      <c r="H125" s="38">
        <f t="shared" si="259"/>
        <v>8.0660575710080652E-3</v>
      </c>
      <c r="J125" s="38">
        <f t="shared" ref="J125:L125" si="260">LN(B125/B126)</f>
        <v>5.3378346569018999E-2</v>
      </c>
      <c r="K125" s="38">
        <f t="shared" si="260"/>
        <v>7.6932734794605176E-2</v>
      </c>
      <c r="L125" s="38">
        <f t="shared" si="260"/>
        <v>8.0337008065351958E-3</v>
      </c>
    </row>
    <row r="126" spans="1:12">
      <c r="A126" s="9" t="s">
        <v>483</v>
      </c>
      <c r="B126" s="7">
        <v>32.1</v>
      </c>
      <c r="C126" s="7">
        <v>143.93</v>
      </c>
      <c r="D126" s="41">
        <v>6539.75</v>
      </c>
      <c r="F126" s="38">
        <f t="shared" ref="F126:H126" si="261">(B126-B127)/B127</f>
        <v>-1.3521819299323839E-2</v>
      </c>
      <c r="G126" s="38">
        <f t="shared" si="261"/>
        <v>-2.1549966009517252E-2</v>
      </c>
      <c r="H126" s="38">
        <f t="shared" si="261"/>
        <v>2.7599954000076666E-3</v>
      </c>
      <c r="J126" s="38">
        <f t="shared" ref="J126:L126" si="262">LN(B126/B127)</f>
        <v>-1.3614071654921484E-2</v>
      </c>
      <c r="K126" s="38">
        <f t="shared" si="262"/>
        <v>-2.1785557332812323E-2</v>
      </c>
      <c r="L126" s="38">
        <f t="shared" si="262"/>
        <v>2.756193606385733E-3</v>
      </c>
    </row>
    <row r="127" spans="1:12">
      <c r="A127" s="9" t="s">
        <v>486</v>
      </c>
      <c r="B127" s="7">
        <v>32.54</v>
      </c>
      <c r="C127" s="7">
        <v>147.1</v>
      </c>
      <c r="D127" s="41">
        <v>6521.75</v>
      </c>
      <c r="F127" s="38">
        <f t="shared" ref="F127:H127" si="263">(B127-B128)/B128</f>
        <v>-1.4834998486224703E-2</v>
      </c>
      <c r="G127" s="38">
        <f t="shared" si="263"/>
        <v>4.1784702549575115E-2</v>
      </c>
      <c r="H127" s="38">
        <f t="shared" si="263"/>
        <v>2.4208422994159238E-3</v>
      </c>
      <c r="J127" s="38">
        <f t="shared" ref="J127:L127" si="264">LN(B127/B128)</f>
        <v>-1.4946137611806619E-2</v>
      </c>
      <c r="K127" s="38">
        <f t="shared" si="264"/>
        <v>4.093530254825007E-2</v>
      </c>
      <c r="L127" s="38">
        <f t="shared" si="264"/>
        <v>2.4179167812240616E-3</v>
      </c>
    </row>
    <row r="128" spans="1:12">
      <c r="A128" s="9" t="s">
        <v>489</v>
      </c>
      <c r="B128" s="7">
        <v>33.03</v>
      </c>
      <c r="C128" s="7">
        <v>141.19999999999999</v>
      </c>
      <c r="D128" s="41">
        <v>6506</v>
      </c>
      <c r="F128" s="38">
        <f t="shared" ref="F128:H128" si="265">(B128-B129)/B129</f>
        <v>-1.8716577540106819E-2</v>
      </c>
      <c r="G128" s="38">
        <f t="shared" si="265"/>
        <v>4.1451541525298535E-2</v>
      </c>
      <c r="H128" s="38">
        <f t="shared" si="265"/>
        <v>2.5039485342270504E-3</v>
      </c>
      <c r="J128" s="38">
        <f t="shared" ref="J128:L128" si="266">LN(B128/B129)</f>
        <v>-1.8893949359961512E-2</v>
      </c>
      <c r="K128" s="38">
        <f t="shared" si="266"/>
        <v>4.061545305632195E-2</v>
      </c>
      <c r="L128" s="38">
        <f t="shared" si="266"/>
        <v>2.5008188783389039E-3</v>
      </c>
    </row>
    <row r="129" spans="1:12">
      <c r="A129" s="9" t="s">
        <v>492</v>
      </c>
      <c r="B129" s="7">
        <v>33.659999999999997</v>
      </c>
      <c r="C129" s="7">
        <v>135.58000000000001</v>
      </c>
      <c r="D129" s="41">
        <v>6489.75</v>
      </c>
      <c r="F129" s="38">
        <f t="shared" ref="F129:H129" si="267">(B129-B130)/B130</f>
        <v>1.3855421686746798E-2</v>
      </c>
      <c r="G129" s="38">
        <f t="shared" si="267"/>
        <v>3.5594256034219562E-2</v>
      </c>
      <c r="H129" s="38">
        <f t="shared" si="267"/>
        <v>-3.225434857735284E-3</v>
      </c>
      <c r="J129" s="38">
        <f t="shared" ref="J129:L129" si="268">LN(B129/B130)</f>
        <v>1.376031284021691E-2</v>
      </c>
      <c r="K129" s="38">
        <f t="shared" si="268"/>
        <v>3.4975422369839922E-2</v>
      </c>
      <c r="L129" s="38">
        <f t="shared" si="268"/>
        <v>-3.2306477850691686E-3</v>
      </c>
    </row>
    <row r="130" spans="1:12">
      <c r="A130" s="9" t="s">
        <v>495</v>
      </c>
      <c r="B130" s="7">
        <v>33.200000000000003</v>
      </c>
      <c r="C130" s="7">
        <v>130.91999999999999</v>
      </c>
      <c r="D130" s="41">
        <v>6510.75</v>
      </c>
      <c r="F130" s="38">
        <f t="shared" ref="F130:H130" si="269">(B130-B131)/B131</f>
        <v>4.5998739760554644E-2</v>
      </c>
      <c r="G130" s="38">
        <f t="shared" si="269"/>
        <v>-4.0527665811652631E-2</v>
      </c>
      <c r="H130" s="38">
        <f t="shared" si="269"/>
        <v>8.2852607534167014E-3</v>
      </c>
      <c r="J130" s="38">
        <f t="shared" ref="J130:L130" si="270">LN(B130/B131)</f>
        <v>4.4972160824179909E-2</v>
      </c>
      <c r="K130" s="38">
        <f t="shared" si="270"/>
        <v>-4.1371797521367777E-2</v>
      </c>
      <c r="L130" s="38">
        <f t="shared" si="270"/>
        <v>8.2511263923248281E-3</v>
      </c>
    </row>
    <row r="131" spans="1:12">
      <c r="A131" s="9" t="s">
        <v>498</v>
      </c>
      <c r="B131" s="7">
        <v>31.74</v>
      </c>
      <c r="C131" s="7">
        <v>136.44999999999999</v>
      </c>
      <c r="D131" s="41">
        <v>6457.25</v>
      </c>
      <c r="F131" s="38">
        <f t="shared" ref="F131:H131" si="271">(B131-B132)/B132</f>
        <v>-1.5508684863523683E-2</v>
      </c>
      <c r="G131" s="38">
        <f t="shared" si="271"/>
        <v>-1.5156983038614381E-2</v>
      </c>
      <c r="H131" s="38">
        <f t="shared" si="271"/>
        <v>4.941249708193915E-3</v>
      </c>
      <c r="J131" s="38">
        <f t="shared" ref="J131:L131" si="272">LN(B131/B132)</f>
        <v>-1.5630202540164593E-2</v>
      </c>
      <c r="K131" s="38">
        <f t="shared" si="272"/>
        <v>-1.5273024154640073E-2</v>
      </c>
      <c r="L131" s="38">
        <f t="shared" si="272"/>
        <v>4.9290818005064633E-3</v>
      </c>
    </row>
    <row r="132" spans="1:12">
      <c r="A132" s="9" t="s">
        <v>500</v>
      </c>
      <c r="B132" s="7">
        <v>32.24</v>
      </c>
      <c r="C132" s="7">
        <v>138.55000000000001</v>
      </c>
      <c r="D132" s="41">
        <v>6425.5</v>
      </c>
      <c r="F132" s="38">
        <f t="shared" ref="F132:H132" si="273">(B132-B133)/B133</f>
        <v>-2.8915662650602431E-2</v>
      </c>
      <c r="G132" s="38">
        <f t="shared" si="273"/>
        <v>2.629629629629638E-2</v>
      </c>
      <c r="H132" s="38">
        <f t="shared" si="273"/>
        <v>-7.2998339191224747E-3</v>
      </c>
      <c r="J132" s="38">
        <f t="shared" ref="J132:L132" si="274">LN(B132/B133)</f>
        <v>-2.934195828401532E-2</v>
      </c>
      <c r="K132" s="38">
        <f t="shared" si="274"/>
        <v>2.5956492870558154E-2</v>
      </c>
      <c r="L132" s="38">
        <f t="shared" si="274"/>
        <v>-7.3266080842914168E-3</v>
      </c>
    </row>
    <row r="133" spans="1:12">
      <c r="A133" s="9" t="s">
        <v>504</v>
      </c>
      <c r="B133" s="7">
        <v>33.200000000000003</v>
      </c>
      <c r="C133" s="7">
        <v>135</v>
      </c>
      <c r="D133" s="41">
        <v>6472.75</v>
      </c>
      <c r="F133" s="38">
        <f t="shared" ref="F133:H133" si="275">(B133-B134)/B134</f>
        <v>1.2195121951219686E-2</v>
      </c>
      <c r="G133" s="38">
        <f t="shared" si="275"/>
        <v>0.12904574726101872</v>
      </c>
      <c r="H133" s="38">
        <f t="shared" si="275"/>
        <v>-6.8661296509397772E-3</v>
      </c>
      <c r="J133" s="38">
        <f t="shared" ref="J133:L133" si="276">LN(B133/B134)</f>
        <v>1.2121360532345041E-2</v>
      </c>
      <c r="K133" s="38">
        <f t="shared" si="276"/>
        <v>0.12137280450694087</v>
      </c>
      <c r="L133" s="38">
        <f t="shared" si="276"/>
        <v>-6.8898099761695456E-3</v>
      </c>
    </row>
    <row r="134" spans="1:12">
      <c r="A134" s="9" t="s">
        <v>506</v>
      </c>
      <c r="B134" s="7">
        <v>32.799999999999997</v>
      </c>
      <c r="C134" s="7">
        <v>119.57</v>
      </c>
      <c r="D134" s="41">
        <v>6517.5</v>
      </c>
      <c r="F134" s="38">
        <f t="shared" ref="F134:H134" si="277">(B134-B135)/B135</f>
        <v>-0.17004048582995965</v>
      </c>
      <c r="G134" s="38">
        <f t="shared" si="277"/>
        <v>-2.1762251493086891E-2</v>
      </c>
      <c r="H134" s="38">
        <f t="shared" si="277"/>
        <v>3.3097290640394087E-3</v>
      </c>
      <c r="J134" s="38">
        <f t="shared" ref="J134:L134" si="278">LN(B134/B135)</f>
        <v>-0.18637835748956921</v>
      </c>
      <c r="K134" s="38">
        <f t="shared" si="278"/>
        <v>-2.2002541857682838E-2</v>
      </c>
      <c r="L134" s="38">
        <f t="shared" si="278"/>
        <v>3.3042639661428749E-3</v>
      </c>
    </row>
    <row r="135" spans="1:12">
      <c r="A135" s="9" t="s">
        <v>510</v>
      </c>
      <c r="B135" s="7">
        <v>39.520000000000003</v>
      </c>
      <c r="C135" s="7">
        <v>122.23</v>
      </c>
      <c r="D135" s="41">
        <v>6496</v>
      </c>
      <c r="F135" s="38">
        <f t="shared" ref="F135:H135" si="279">(B135-B136)/B136</f>
        <v>3.2123269783233321E-2</v>
      </c>
      <c r="G135" s="38">
        <f t="shared" si="279"/>
        <v>-1.5782269103792525E-2</v>
      </c>
      <c r="H135" s="38">
        <f t="shared" si="279"/>
        <v>2.082529888160432E-3</v>
      </c>
      <c r="J135" s="38">
        <f t="shared" ref="J135:L135" si="280">LN(B135/B136)</f>
        <v>3.1618107390464126E-2</v>
      </c>
      <c r="K135" s="38">
        <f t="shared" si="280"/>
        <v>-1.5908135170769763E-2</v>
      </c>
      <c r="L135" s="38">
        <f t="shared" si="280"/>
        <v>2.0803644286943755E-3</v>
      </c>
    </row>
    <row r="136" spans="1:12">
      <c r="A136" s="9" t="s">
        <v>514</v>
      </c>
      <c r="B136" s="7">
        <v>38.29</v>
      </c>
      <c r="C136" s="7">
        <v>124.19</v>
      </c>
      <c r="D136" s="41">
        <v>6482.5</v>
      </c>
      <c r="F136" s="38">
        <f t="shared" ref="F136:H136" si="281">(B136-B137)/B137</f>
        <v>-1.8959774532411017E-2</v>
      </c>
      <c r="G136" s="38">
        <f t="shared" si="281"/>
        <v>-1.2866907921189915E-3</v>
      </c>
      <c r="H136" s="38">
        <f t="shared" si="281"/>
        <v>4.1824800557664008E-3</v>
      </c>
      <c r="J136" s="38">
        <f t="shared" ref="J136:L136" si="282">LN(B136/B137)</f>
        <v>-1.9141815703320537E-2</v>
      </c>
      <c r="K136" s="38">
        <f t="shared" si="282"/>
        <v>-1.2875192894724211E-3</v>
      </c>
      <c r="L136" s="38">
        <f t="shared" si="282"/>
        <v>4.1737577980461181E-3</v>
      </c>
    </row>
    <row r="137" spans="1:12">
      <c r="A137" s="9" t="s">
        <v>519</v>
      </c>
      <c r="B137" s="7">
        <v>39.03</v>
      </c>
      <c r="C137" s="7">
        <v>124.35</v>
      </c>
      <c r="D137" s="41">
        <v>6455.5</v>
      </c>
      <c r="F137" s="38">
        <f t="shared" ref="F137:H137" si="283">(B137-B138)/B138</f>
        <v>-4.0826741515691909E-3</v>
      </c>
      <c r="G137" s="38">
        <f t="shared" si="283"/>
        <v>1.146900927281598E-2</v>
      </c>
      <c r="H137" s="38">
        <f t="shared" si="283"/>
        <v>-4.2802606717309991E-3</v>
      </c>
      <c r="J137" s="38">
        <f t="shared" ref="J137:L137" si="284">LN(B137/B138)</f>
        <v>-4.0910310190163694E-3</v>
      </c>
      <c r="K137" s="38">
        <f t="shared" si="284"/>
        <v>1.1403738770550299E-2</v>
      </c>
      <c r="L137" s="38">
        <f t="shared" si="284"/>
        <v>-4.289447210665813E-3</v>
      </c>
    </row>
    <row r="138" spans="1:12">
      <c r="A138" s="9" t="s">
        <v>523</v>
      </c>
      <c r="B138" s="7">
        <v>39.19</v>
      </c>
      <c r="C138" s="7">
        <v>122.94</v>
      </c>
      <c r="D138" s="41">
        <v>6483.25</v>
      </c>
      <c r="F138" s="38">
        <f t="shared" ref="F138:H138" si="285">(B138-B139)/B139</f>
        <v>9.0428491930996113E-2</v>
      </c>
      <c r="G138" s="38">
        <f t="shared" si="285"/>
        <v>4.107037005673634E-2</v>
      </c>
      <c r="H138" s="38">
        <f t="shared" si="285"/>
        <v>1.4871052322623566E-2</v>
      </c>
      <c r="J138" s="38">
        <f t="shared" ref="J138:L138" si="286">LN(B138/B139)</f>
        <v>8.6570730856127112E-2</v>
      </c>
      <c r="K138" s="38">
        <f t="shared" si="286"/>
        <v>4.0249385865673074E-2</v>
      </c>
      <c r="L138" s="38">
        <f t="shared" si="286"/>
        <v>1.4761562376550094E-2</v>
      </c>
    </row>
    <row r="139" spans="1:12">
      <c r="A139" s="9" t="s">
        <v>528</v>
      </c>
      <c r="B139" s="7">
        <v>35.94</v>
      </c>
      <c r="C139" s="7">
        <v>118.09</v>
      </c>
      <c r="D139" s="41">
        <v>6388.25</v>
      </c>
      <c r="F139" s="38">
        <f t="shared" ref="F139:H139" si="287">(B139-B140)/B140</f>
        <v>-6.0840707964601465E-3</v>
      </c>
      <c r="G139" s="38">
        <f t="shared" si="287"/>
        <v>-1.1716461628588096E-2</v>
      </c>
      <c r="H139" s="38">
        <f t="shared" si="287"/>
        <v>-3.8981795501500799E-3</v>
      </c>
      <c r="J139" s="38">
        <f t="shared" ref="J139:L139" si="288">LN(B139/B140)</f>
        <v>-6.1026541685627054E-3</v>
      </c>
      <c r="K139" s="38">
        <f t="shared" si="288"/>
        <v>-1.1785640248472225E-2</v>
      </c>
      <c r="L139" s="38">
        <f t="shared" si="288"/>
        <v>-3.9057972552852503E-3</v>
      </c>
    </row>
    <row r="140" spans="1:12">
      <c r="A140" s="9" t="s">
        <v>533</v>
      </c>
      <c r="B140" s="7">
        <v>36.159999999999997</v>
      </c>
      <c r="C140" s="7">
        <v>119.49</v>
      </c>
      <c r="D140" s="41">
        <v>6413.25</v>
      </c>
      <c r="F140" s="38">
        <f t="shared" ref="F140:H140" si="289">(B140-B141)/B141</f>
        <v>-1.2831012831012994E-2</v>
      </c>
      <c r="G140" s="38">
        <f t="shared" si="289"/>
        <v>-4.1670139178264856E-3</v>
      </c>
      <c r="H140" s="38">
        <f t="shared" si="289"/>
        <v>-2.9926156237854644E-3</v>
      </c>
      <c r="J140" s="38">
        <f t="shared" ref="J140:L140" si="290">LN(B140/B141)</f>
        <v>-1.2914041266747382E-2</v>
      </c>
      <c r="K140" s="38">
        <f t="shared" si="290"/>
        <v>-4.175720114634969E-3</v>
      </c>
      <c r="L140" s="38">
        <f t="shared" si="290"/>
        <v>-2.9971024517249107E-3</v>
      </c>
    </row>
    <row r="141" spans="1:12">
      <c r="A141" s="9" t="s">
        <v>538</v>
      </c>
      <c r="B141" s="7">
        <v>36.630000000000003</v>
      </c>
      <c r="C141" s="7">
        <v>119.99</v>
      </c>
      <c r="D141" s="41">
        <v>6432.5</v>
      </c>
      <c r="F141" s="38">
        <f t="shared" ref="F141:H141" si="291">(B141-B142)/B142</f>
        <v>1.4119601328903797E-2</v>
      </c>
      <c r="G141" s="38">
        <f t="shared" si="291"/>
        <v>-1.1614497528830401E-2</v>
      </c>
      <c r="H141" s="38">
        <f t="shared" si="291"/>
        <v>-5.6807203307956871E-3</v>
      </c>
      <c r="J141" s="38">
        <f t="shared" ref="J141:L141" si="292">LN(B141/B142)</f>
        <v>1.4020848241938451E-2</v>
      </c>
      <c r="K141" s="38">
        <f t="shared" si="292"/>
        <v>-1.168247264910042E-2</v>
      </c>
      <c r="L141" s="38">
        <f t="shared" si="292"/>
        <v>-5.6969169907903731E-3</v>
      </c>
    </row>
    <row r="142" spans="1:12">
      <c r="A142" s="9" t="s">
        <v>543</v>
      </c>
      <c r="B142" s="7">
        <v>36.119999999999997</v>
      </c>
      <c r="C142" s="7">
        <v>121.4</v>
      </c>
      <c r="D142" s="41">
        <v>6469.25</v>
      </c>
      <c r="F142" s="38">
        <f t="shared" ref="F142:H142" si="293">(B142-B143)/B143</f>
        <v>-6.0539350577877259E-3</v>
      </c>
      <c r="G142" s="38">
        <f t="shared" si="293"/>
        <v>1.1545439551377253E-3</v>
      </c>
      <c r="H142" s="38">
        <f t="shared" si="293"/>
        <v>-3.4767828169667003E-4</v>
      </c>
      <c r="J142" s="38">
        <f t="shared" ref="J142:L142" si="294">LN(B142/B143)</f>
        <v>-6.0723344192406244E-3</v>
      </c>
      <c r="K142" s="38">
        <f t="shared" si="294"/>
        <v>1.1538779818132229E-3</v>
      </c>
      <c r="L142" s="38">
        <f t="shared" si="294"/>
        <v>-3.4773873580325833E-4</v>
      </c>
    </row>
    <row r="143" spans="1:12">
      <c r="A143" s="9" t="s">
        <v>548</v>
      </c>
      <c r="B143" s="7">
        <v>36.340000000000003</v>
      </c>
      <c r="C143" s="7">
        <v>121.26</v>
      </c>
      <c r="D143" s="41">
        <v>6471.5</v>
      </c>
      <c r="F143" s="38">
        <f t="shared" ref="F143:H143" si="295">(B143-B144)/B144</f>
        <v>-3.8377192982454351E-3</v>
      </c>
      <c r="G143" s="38">
        <f t="shared" si="295"/>
        <v>-8.3415112855740603E-3</v>
      </c>
      <c r="H143" s="38">
        <f t="shared" si="295"/>
        <v>-2.9273553655342422E-3</v>
      </c>
      <c r="J143" s="38">
        <f t="shared" ref="J143:L143" si="296">LN(B143/B144)</f>
        <v>-3.8451022381052885E-3</v>
      </c>
      <c r="K143" s="38">
        <f t="shared" si="296"/>
        <v>-8.3764963790490532E-3</v>
      </c>
      <c r="L143" s="38">
        <f t="shared" si="296"/>
        <v>-2.9316484505563199E-3</v>
      </c>
    </row>
    <row r="144" spans="1:12">
      <c r="A144" s="9" t="s">
        <v>553</v>
      </c>
      <c r="B144" s="7">
        <v>36.479999999999997</v>
      </c>
      <c r="C144" s="7">
        <v>122.28</v>
      </c>
      <c r="D144" s="41">
        <v>6490.5</v>
      </c>
      <c r="F144" s="38">
        <f t="shared" ref="F144:H144" si="297">(B144-B145)/B145</f>
        <v>-1.2987012987013094E-2</v>
      </c>
      <c r="G144" s="38">
        <f t="shared" si="297"/>
        <v>-3.610279047769193E-2</v>
      </c>
      <c r="H144" s="38">
        <f t="shared" si="297"/>
        <v>2.6969755345790792E-4</v>
      </c>
      <c r="J144" s="38">
        <f t="shared" ref="J144:L144" si="298">LN(B144/B145)</f>
        <v>-1.3072081567352888E-2</v>
      </c>
      <c r="K144" s="38">
        <f t="shared" si="298"/>
        <v>-3.6770619183117317E-2</v>
      </c>
      <c r="L144" s="38">
        <f t="shared" si="298"/>
        <v>2.6966119161044266E-4</v>
      </c>
    </row>
    <row r="145" spans="1:12">
      <c r="A145" s="9" t="s">
        <v>557</v>
      </c>
      <c r="B145" s="7">
        <v>36.96</v>
      </c>
      <c r="C145" s="7">
        <v>126.86</v>
      </c>
      <c r="D145" s="41">
        <v>6488.75</v>
      </c>
      <c r="F145" s="38">
        <f t="shared" ref="F145:H145" si="299">(B145-B146)/B146</f>
        <v>4.406779661016956E-2</v>
      </c>
      <c r="G145" s="38">
        <f t="shared" si="299"/>
        <v>3.6268583564776975E-2</v>
      </c>
      <c r="H145" s="38">
        <f t="shared" si="299"/>
        <v>3.1305557702713148E-3</v>
      </c>
      <c r="J145" s="38">
        <f t="shared" ref="J145:L145" si="300">LN(B145/B146)</f>
        <v>4.3124426633754619E-2</v>
      </c>
      <c r="K145" s="38">
        <f t="shared" si="300"/>
        <v>3.5626360782827216E-2</v>
      </c>
      <c r="L145" s="38">
        <f t="shared" si="300"/>
        <v>3.1256657834820723E-3</v>
      </c>
    </row>
    <row r="146" spans="1:12">
      <c r="A146" s="9" t="s">
        <v>562</v>
      </c>
      <c r="B146" s="7">
        <v>35.4</v>
      </c>
      <c r="C146" s="7">
        <v>122.42</v>
      </c>
      <c r="D146" s="41">
        <v>6468.5</v>
      </c>
      <c r="F146" s="38">
        <f t="shared" ref="F146:H146" si="301">(B146-B147)/B147</f>
        <v>9.4958243117847216E-2</v>
      </c>
      <c r="G146" s="38">
        <f t="shared" si="301"/>
        <v>3.1861092380310194E-2</v>
      </c>
      <c r="H146" s="38">
        <f t="shared" si="301"/>
        <v>1.0742607133091137E-2</v>
      </c>
      <c r="J146" s="38">
        <f t="shared" ref="J146:L146" si="302">LN(B146/B147)</f>
        <v>9.0716228402387133E-2</v>
      </c>
      <c r="K146" s="38">
        <f t="shared" si="302"/>
        <v>3.1364057593247154E-2</v>
      </c>
      <c r="L146" s="38">
        <f t="shared" si="302"/>
        <v>1.0685315273152732E-2</v>
      </c>
    </row>
    <row r="147" spans="1:12">
      <c r="A147" s="9" t="s">
        <v>565</v>
      </c>
      <c r="B147" s="7">
        <v>32.33</v>
      </c>
      <c r="C147" s="7">
        <v>118.64</v>
      </c>
      <c r="D147" s="41">
        <v>6399.75</v>
      </c>
      <c r="F147" s="38">
        <f t="shared" ref="F147:H147" si="303">(B147-B148)/B148</f>
        <v>1.3479623824451403E-2</v>
      </c>
      <c r="G147" s="38">
        <f t="shared" si="303"/>
        <v>-1.4290461947490852E-2</v>
      </c>
      <c r="H147" s="38">
        <f t="shared" si="303"/>
        <v>-2.1439151789194666E-3</v>
      </c>
      <c r="J147" s="38">
        <f t="shared" ref="J147:L147" si="304">LN(B147/B148)</f>
        <v>1.3389581946542864E-2</v>
      </c>
      <c r="K147" s="38">
        <f t="shared" si="304"/>
        <v>-1.4393553932167796E-2</v>
      </c>
      <c r="L147" s="38">
        <f t="shared" si="304"/>
        <v>-2.1462166551014759E-3</v>
      </c>
    </row>
    <row r="148" spans="1:12">
      <c r="A148" s="9" t="s">
        <v>569</v>
      </c>
      <c r="B148" s="7">
        <v>31.9</v>
      </c>
      <c r="C148" s="7">
        <v>120.36</v>
      </c>
      <c r="D148" s="41">
        <v>6413.5</v>
      </c>
      <c r="F148" s="38">
        <f t="shared" ref="F148:H148" si="305">(B148-B149)/B149</f>
        <v>-1.1159330440173573E-2</v>
      </c>
      <c r="G148" s="38">
        <f t="shared" si="305"/>
        <v>-4.9603174603174132E-3</v>
      </c>
      <c r="H148" s="38">
        <f t="shared" si="305"/>
        <v>7.3823922092201366E-3</v>
      </c>
      <c r="J148" s="38">
        <f t="shared" ref="J148:L148" si="306">LN(B148/B149)</f>
        <v>-1.1222062906263913E-2</v>
      </c>
      <c r="K148" s="38">
        <f t="shared" si="306"/>
        <v>-4.9726606693783768E-3</v>
      </c>
      <c r="L148" s="38">
        <f t="shared" si="306"/>
        <v>7.3552757264152401E-3</v>
      </c>
    </row>
    <row r="149" spans="1:12">
      <c r="A149" s="9" t="s">
        <v>572</v>
      </c>
      <c r="B149" s="7">
        <v>32.26</v>
      </c>
      <c r="C149" s="7">
        <v>120.96</v>
      </c>
      <c r="D149" s="41">
        <v>6366.5</v>
      </c>
      <c r="F149" s="38">
        <f t="shared" ref="F149:H149" si="307">(B149-B150)/B150</f>
        <v>-2.7434428700633211E-2</v>
      </c>
      <c r="G149" s="38">
        <f t="shared" si="307"/>
        <v>8.2740360747968157E-4</v>
      </c>
      <c r="H149" s="38">
        <f t="shared" si="307"/>
        <v>-7.0632553759221472E-4</v>
      </c>
      <c r="J149" s="38">
        <f t="shared" ref="J149:L149" si="308">LN(B149/B150)</f>
        <v>-2.7817780261898323E-2</v>
      </c>
      <c r="K149" s="38">
        <f t="shared" si="308"/>
        <v>8.270614978102465E-4</v>
      </c>
      <c r="L149" s="38">
        <f t="shared" si="308"/>
        <v>-7.0657510299792733E-4</v>
      </c>
    </row>
    <row r="150" spans="1:12">
      <c r="A150" s="9" t="s">
        <v>575</v>
      </c>
      <c r="B150" s="7">
        <v>33.17</v>
      </c>
      <c r="C150" s="7">
        <v>120.86</v>
      </c>
      <c r="D150" s="41">
        <v>6371</v>
      </c>
      <c r="F150" s="38">
        <f t="shared" ref="F150:H150" si="309">(B150-B151)/B151</f>
        <v>-1.397146254458974E-2</v>
      </c>
      <c r="G150" s="38">
        <f t="shared" si="309"/>
        <v>3.2638414217361529E-2</v>
      </c>
      <c r="H150" s="38">
        <f t="shared" si="309"/>
        <v>7.2329156950318172E-3</v>
      </c>
      <c r="J150" s="38">
        <f t="shared" ref="J150:L150" si="310">LN(B150/B151)</f>
        <v>-1.4069982145786175E-2</v>
      </c>
      <c r="K150" s="38">
        <f t="shared" si="310"/>
        <v>3.2117094221543477E-2</v>
      </c>
      <c r="L150" s="38">
        <f t="shared" si="310"/>
        <v>7.2068836101872808E-3</v>
      </c>
    </row>
    <row r="151" spans="1:12">
      <c r="A151" s="9" t="s">
        <v>576</v>
      </c>
      <c r="B151" s="7">
        <v>33.64</v>
      </c>
      <c r="C151" s="7">
        <v>117.04</v>
      </c>
      <c r="D151" s="41">
        <v>6325.25</v>
      </c>
      <c r="F151" s="38">
        <f t="shared" ref="F151:H151" si="311">(B151-B152)/B152</f>
        <v>1.1121130147279754E-2</v>
      </c>
      <c r="G151" s="38">
        <f t="shared" si="311"/>
        <v>-3.9148936170212232E-3</v>
      </c>
      <c r="H151" s="38">
        <f t="shared" si="311"/>
        <v>-4.8379483952171176E-3</v>
      </c>
      <c r="J151" s="38">
        <f t="shared" ref="J151:L151" si="312">LN(B151/B152)</f>
        <v>1.1059745074361894E-2</v>
      </c>
      <c r="K151" s="38">
        <f t="shared" si="312"/>
        <v>-3.9225768723447482E-3</v>
      </c>
      <c r="L151" s="38">
        <f t="shared" si="312"/>
        <v>-4.8496891503055795E-3</v>
      </c>
    </row>
    <row r="152" spans="1:12">
      <c r="A152" s="9" t="s">
        <v>579</v>
      </c>
      <c r="B152" s="7">
        <v>33.270000000000003</v>
      </c>
      <c r="C152" s="7">
        <v>117.5</v>
      </c>
      <c r="D152" s="41">
        <v>6356</v>
      </c>
      <c r="F152" s="38">
        <f t="shared" ref="F152:H152" si="313">(B152-B153)/B153</f>
        <v>2.5901942645698534E-2</v>
      </c>
      <c r="G152" s="38">
        <f t="shared" si="313"/>
        <v>3.673016144187297E-3</v>
      </c>
      <c r="H152" s="38">
        <f t="shared" si="313"/>
        <v>1.4606113815947003E-2</v>
      </c>
      <c r="J152" s="38">
        <f t="shared" ref="J152:L152" si="314">LN(B152/B153)</f>
        <v>2.5572169711158887E-2</v>
      </c>
      <c r="K152" s="38">
        <f t="shared" si="314"/>
        <v>3.6662870926327052E-3</v>
      </c>
      <c r="L152" s="38">
        <f t="shared" si="314"/>
        <v>1.450047197099923E-2</v>
      </c>
    </row>
    <row r="153" spans="1:12">
      <c r="A153" s="9" t="s">
        <v>582</v>
      </c>
      <c r="B153" s="7">
        <v>32.43</v>
      </c>
      <c r="C153" s="7">
        <v>117.07</v>
      </c>
      <c r="D153" s="41">
        <v>6264.5</v>
      </c>
      <c r="F153" s="38">
        <f t="shared" ref="F153:H153" si="315">(B153-B154)/B154</f>
        <v>-2.6418492945061618E-2</v>
      </c>
      <c r="G153" s="38">
        <f t="shared" si="315"/>
        <v>-2.9511730083727119E-2</v>
      </c>
      <c r="H153" s="38">
        <f t="shared" si="315"/>
        <v>-1.721771188767306E-2</v>
      </c>
      <c r="J153" s="38">
        <f t="shared" ref="J153:L153" si="316">LN(B153/B154)</f>
        <v>-2.6773731886361743E-2</v>
      </c>
      <c r="K153" s="38">
        <f t="shared" si="316"/>
        <v>-2.9955963085711274E-2</v>
      </c>
      <c r="L153" s="38">
        <f t="shared" si="316"/>
        <v>-1.7367660361237953E-2</v>
      </c>
    </row>
    <row r="154" spans="1:12">
      <c r="A154" s="9" t="s">
        <v>585</v>
      </c>
      <c r="B154" s="7">
        <v>33.31</v>
      </c>
      <c r="C154" s="7">
        <v>120.63</v>
      </c>
      <c r="D154" s="41">
        <v>6374.25</v>
      </c>
      <c r="F154" s="38">
        <f t="shared" ref="F154:H154" si="317">(B154-B155)/B155</f>
        <v>-1.9428907859876263E-2</v>
      </c>
      <c r="G154" s="38">
        <f t="shared" si="317"/>
        <v>2.7687851422729597E-2</v>
      </c>
      <c r="H154" s="38">
        <f t="shared" si="317"/>
        <v>-3.439515341020129E-3</v>
      </c>
      <c r="J154" s="38">
        <f t="shared" ref="J154:L154" si="318">LN(B154/B155)</f>
        <v>-1.9620129966904178E-2</v>
      </c>
      <c r="K154" s="38">
        <f t="shared" si="318"/>
        <v>2.7311474447103974E-2</v>
      </c>
      <c r="L154" s="38">
        <f t="shared" si="318"/>
        <v>-3.4454440724562808E-3</v>
      </c>
    </row>
    <row r="155" spans="1:12">
      <c r="A155" s="9" t="s">
        <v>588</v>
      </c>
      <c r="B155" s="7">
        <v>33.97</v>
      </c>
      <c r="C155" s="7">
        <v>117.38</v>
      </c>
      <c r="D155" s="41">
        <v>6396.25</v>
      </c>
      <c r="F155" s="38">
        <f t="shared" ref="F155:H155" si="319">(B155-B156)/B156</f>
        <v>-3.8766270514997293E-2</v>
      </c>
      <c r="G155" s="38">
        <f t="shared" si="319"/>
        <v>-1.6588471849865984E-2</v>
      </c>
      <c r="H155" s="38">
        <f t="shared" si="319"/>
        <v>-1.5220106150483921E-3</v>
      </c>
      <c r="J155" s="38">
        <f t="shared" ref="J155:L155" si="320">LN(B155/B156)</f>
        <v>-3.9537684719057879E-2</v>
      </c>
      <c r="K155" s="38">
        <f t="shared" si="320"/>
        <v>-1.6727601325262333E-2</v>
      </c>
      <c r="L155" s="38">
        <f t="shared" si="320"/>
        <v>-1.5231700498019158E-3</v>
      </c>
    </row>
    <row r="156" spans="1:12">
      <c r="A156" s="9" t="s">
        <v>592</v>
      </c>
      <c r="B156" s="7">
        <v>35.340000000000003</v>
      </c>
      <c r="C156" s="7">
        <v>119.36</v>
      </c>
      <c r="D156" s="41">
        <v>6406</v>
      </c>
      <c r="F156" s="38">
        <f t="shared" ref="F156:H156" si="321">(B156-B157)/B157</f>
        <v>0</v>
      </c>
      <c r="G156" s="38">
        <f t="shared" si="321"/>
        <v>-2.2840769545640655E-2</v>
      </c>
      <c r="H156" s="38">
        <f t="shared" si="321"/>
        <v>-2.6079171694367675E-3</v>
      </c>
      <c r="J156" s="38">
        <f t="shared" ref="J156:L156" si="322">LN(B156/B157)</f>
        <v>0</v>
      </c>
      <c r="K156" s="38">
        <f t="shared" si="322"/>
        <v>-2.3105661248298777E-2</v>
      </c>
      <c r="L156" s="38">
        <f t="shared" si="322"/>
        <v>-2.6113237093563172E-3</v>
      </c>
    </row>
    <row r="157" spans="1:12">
      <c r="A157" s="9" t="s">
        <v>596</v>
      </c>
      <c r="B157" s="7">
        <v>35.340000000000003</v>
      </c>
      <c r="C157" s="7">
        <v>122.15</v>
      </c>
      <c r="D157" s="41">
        <v>6422.75</v>
      </c>
      <c r="F157" s="38">
        <f t="shared" ref="F157:H157" si="323">(B157-B158)/B158</f>
        <v>3.407155025553792E-3</v>
      </c>
      <c r="G157" s="38">
        <f t="shared" si="323"/>
        <v>1.7662251103890733E-2</v>
      </c>
      <c r="H157" s="38">
        <f t="shared" si="323"/>
        <v>-3.501945525291829E-4</v>
      </c>
      <c r="J157" s="38">
        <f t="shared" ref="J157:L157" si="324">LN(B157/B158)</f>
        <v>3.4013638234904817E-3</v>
      </c>
      <c r="K157" s="38">
        <f t="shared" si="324"/>
        <v>1.7508086166496066E-2</v>
      </c>
      <c r="L157" s="38">
        <f t="shared" si="324"/>
        <v>-3.5025588496074352E-4</v>
      </c>
    </row>
    <row r="158" spans="1:12">
      <c r="A158" s="9" t="s">
        <v>600</v>
      </c>
      <c r="B158" s="7">
        <v>35.22</v>
      </c>
      <c r="C158" s="7">
        <v>120.03</v>
      </c>
      <c r="D158" s="41">
        <v>6425</v>
      </c>
      <c r="F158" s="38">
        <f t="shared" ref="F158:H158" si="325">(B158-B159)/B159</f>
        <v>-1.4176353841793099E-3</v>
      </c>
      <c r="G158" s="38">
        <f t="shared" si="325"/>
        <v>-9.244737928188234E-3</v>
      </c>
      <c r="H158" s="38">
        <f t="shared" si="325"/>
        <v>3.67101460595173E-3</v>
      </c>
      <c r="J158" s="38">
        <f t="shared" ref="J158:L158" si="326">LN(B158/B159)</f>
        <v>-1.418641179900628E-3</v>
      </c>
      <c r="K158" s="38">
        <f t="shared" si="326"/>
        <v>-9.2877357252814426E-3</v>
      </c>
      <c r="L158" s="38">
        <f t="shared" si="326"/>
        <v>3.6642928771868865E-3</v>
      </c>
    </row>
    <row r="159" spans="1:12">
      <c r="A159" s="9" t="s">
        <v>605</v>
      </c>
      <c r="B159" s="7">
        <v>35.270000000000003</v>
      </c>
      <c r="C159" s="7">
        <v>121.15</v>
      </c>
      <c r="D159" s="41">
        <v>6401.5</v>
      </c>
      <c r="F159" s="38">
        <f t="shared" ref="F159:H159" si="327">(B159-B160)/B160</f>
        <v>-4.3395714673175871E-2</v>
      </c>
      <c r="G159" s="38">
        <f t="shared" si="327"/>
        <v>-1.166585087289927E-2</v>
      </c>
      <c r="H159" s="38">
        <f t="shared" si="327"/>
        <v>8.2079343365253077E-4</v>
      </c>
      <c r="J159" s="38">
        <f t="shared" ref="J159:L159" si="328">LN(B159/B160)</f>
        <v>-4.4365467998092309E-2</v>
      </c>
      <c r="K159" s="38">
        <f t="shared" si="328"/>
        <v>-1.1734430795050906E-2</v>
      </c>
      <c r="L159" s="38">
        <f t="shared" si="328"/>
        <v>8.2045676693219701E-4</v>
      </c>
    </row>
    <row r="160" spans="1:12">
      <c r="A160" s="9" t="s">
        <v>609</v>
      </c>
      <c r="B160" s="7">
        <v>36.869999999999997</v>
      </c>
      <c r="C160" s="7">
        <v>122.58</v>
      </c>
      <c r="D160" s="41">
        <v>6396.25</v>
      </c>
      <c r="F160" s="38">
        <f t="shared" ref="F160:H160" si="329">(B160-B161)/B161</f>
        <v>2.7019498607242308E-2</v>
      </c>
      <c r="G160" s="38">
        <f t="shared" si="329"/>
        <v>1.5491674260624677E-2</v>
      </c>
      <c r="H160" s="38">
        <f t="shared" si="329"/>
        <v>7.799267341552763E-3</v>
      </c>
      <c r="J160" s="38">
        <f t="shared" ref="J160:L160" si="330">LN(B160/B161)</f>
        <v>2.6660916751819905E-2</v>
      </c>
      <c r="K160" s="38">
        <f t="shared" si="330"/>
        <v>1.5372903344549934E-2</v>
      </c>
      <c r="L160" s="38">
        <f t="shared" si="330"/>
        <v>7.769010276155135E-3</v>
      </c>
    </row>
    <row r="161" spans="1:12">
      <c r="A161" s="9" t="s">
        <v>613</v>
      </c>
      <c r="B161" s="7">
        <v>35.9</v>
      </c>
      <c r="C161" s="7">
        <v>120.71</v>
      </c>
      <c r="D161" s="41">
        <v>6346.75</v>
      </c>
      <c r="F161" s="38">
        <f t="shared" ref="F161:H161" si="331">(B161-B162)/B162</f>
        <v>8.0349082154679563E-2</v>
      </c>
      <c r="G161" s="38">
        <f t="shared" si="331"/>
        <v>3.6584351874947847E-3</v>
      </c>
      <c r="H161" s="38">
        <f t="shared" si="331"/>
        <v>3.1522124591197445E-4</v>
      </c>
      <c r="J161" s="38">
        <f t="shared" ref="J161:L161" si="332">LN(B161/B162)</f>
        <v>7.7284213127730275E-2</v>
      </c>
      <c r="K161" s="38">
        <f t="shared" si="332"/>
        <v>3.6517593905104947E-3</v>
      </c>
      <c r="L161" s="38">
        <f t="shared" si="332"/>
        <v>3.1517157413306736E-4</v>
      </c>
    </row>
    <row r="162" spans="1:12">
      <c r="A162" s="9" t="s">
        <v>617</v>
      </c>
      <c r="B162" s="7">
        <v>33.229999999999997</v>
      </c>
      <c r="C162" s="7">
        <v>120.27</v>
      </c>
      <c r="D162" s="41">
        <v>6344.75</v>
      </c>
      <c r="F162" s="38">
        <f t="shared" ref="F162:H162" si="333">(B162-B163)/B163</f>
        <v>9.7234883014281469E-3</v>
      </c>
      <c r="G162" s="38">
        <f t="shared" si="333"/>
        <v>3.3269566663887581E-4</v>
      </c>
      <c r="H162" s="38">
        <f t="shared" si="333"/>
        <v>1.5785942618098583E-3</v>
      </c>
      <c r="J162" s="38">
        <f t="shared" ref="J162:L162" si="334">LN(B162/B163)</f>
        <v>9.6765194112543116E-3</v>
      </c>
      <c r="K162" s="38">
        <f t="shared" si="334"/>
        <v>3.3264033570756059E-4</v>
      </c>
      <c r="L162" s="38">
        <f t="shared" si="334"/>
        <v>1.577349591602126E-3</v>
      </c>
    </row>
    <row r="163" spans="1:12">
      <c r="A163" s="9" t="s">
        <v>620</v>
      </c>
      <c r="B163" s="7">
        <v>32.909999999999997</v>
      </c>
      <c r="C163" s="7">
        <v>120.23</v>
      </c>
      <c r="D163" s="41">
        <v>6334.75</v>
      </c>
      <c r="F163" s="38">
        <f t="shared" ref="F163:H163" si="335">(B163-B164)/B164</f>
        <v>-1.2304921968787626E-2</v>
      </c>
      <c r="G163" s="38">
        <f t="shared" si="335"/>
        <v>2.4978687127024782E-2</v>
      </c>
      <c r="H163" s="38">
        <f t="shared" si="335"/>
        <v>-9.0686854349026106E-4</v>
      </c>
      <c r="J163" s="38">
        <f t="shared" ref="J163:L163" si="336">LN(B163/B164)</f>
        <v>-1.2381254343393489E-2</v>
      </c>
      <c r="K163" s="38">
        <f t="shared" si="336"/>
        <v>2.4671819327388014E-2</v>
      </c>
      <c r="L163" s="38">
        <f t="shared" si="336"/>
        <v>-9.072799975431995E-4</v>
      </c>
    </row>
    <row r="164" spans="1:12">
      <c r="A164" s="9" t="s">
        <v>624</v>
      </c>
      <c r="B164" s="7">
        <v>33.32</v>
      </c>
      <c r="C164" s="7">
        <v>117.3</v>
      </c>
      <c r="D164" s="41">
        <v>6340.5</v>
      </c>
      <c r="F164" s="38">
        <f t="shared" ref="F164:H164" si="337">(B164-B165)/B165</f>
        <v>1.3381995133819881E-2</v>
      </c>
      <c r="G164" s="38">
        <f t="shared" si="337"/>
        <v>1.356605893026867E-2</v>
      </c>
      <c r="H164" s="38">
        <f t="shared" si="337"/>
        <v>5.909649783841669E-3</v>
      </c>
      <c r="J164" s="38">
        <f t="shared" ref="J164:L164" si="338">LN(B164/B165)</f>
        <v>1.3293247110662704E-2</v>
      </c>
      <c r="K164" s="38">
        <f t="shared" si="338"/>
        <v>1.3474863799443295E-2</v>
      </c>
      <c r="L164" s="38">
        <f t="shared" si="338"/>
        <v>5.8922562961968355E-3</v>
      </c>
    </row>
    <row r="165" spans="1:12">
      <c r="A165" s="9" t="s">
        <v>626</v>
      </c>
      <c r="B165" s="7">
        <v>32.880000000000003</v>
      </c>
      <c r="C165" s="7">
        <v>115.73</v>
      </c>
      <c r="D165" s="41">
        <v>6303.25</v>
      </c>
      <c r="F165" s="38">
        <f t="shared" ref="F165:H165" si="339">(B165-B166)/B166</f>
        <v>-3.6363636363635587E-3</v>
      </c>
      <c r="G165" s="38">
        <f t="shared" si="339"/>
        <v>-1.0601008805676626E-2</v>
      </c>
      <c r="H165" s="38">
        <f t="shared" si="339"/>
        <v>3.0633354551241249E-3</v>
      </c>
      <c r="J165" s="38">
        <f t="shared" ref="J165:L165" si="340">LN(B165/B166)</f>
        <v>-3.6429912785009805E-3</v>
      </c>
      <c r="K165" s="38">
        <f t="shared" si="340"/>
        <v>-1.0657599802629198E-2</v>
      </c>
      <c r="L165" s="38">
        <f t="shared" si="340"/>
        <v>3.058653003245611E-3</v>
      </c>
    </row>
    <row r="166" spans="1:12">
      <c r="A166" s="9" t="s">
        <v>629</v>
      </c>
      <c r="B166" s="7">
        <v>33</v>
      </c>
      <c r="C166" s="7">
        <v>116.97</v>
      </c>
      <c r="D166" s="41">
        <v>6284</v>
      </c>
      <c r="F166" s="38">
        <f t="shared" ref="F166:H166" si="341">(B166-B167)/B167</f>
        <v>-3.7900874635568432E-2</v>
      </c>
      <c r="G166" s="38">
        <f t="shared" si="341"/>
        <v>8.0853816300129361E-2</v>
      </c>
      <c r="H166" s="38">
        <f t="shared" si="341"/>
        <v>-4.2782443352875933E-3</v>
      </c>
      <c r="J166" s="38">
        <f t="shared" ref="J166:L166" si="342">LN(B166/B167)</f>
        <v>-3.863779270541394E-2</v>
      </c>
      <c r="K166" s="38">
        <f t="shared" si="342"/>
        <v>7.7751299448026417E-2</v>
      </c>
      <c r="L166" s="38">
        <f t="shared" si="342"/>
        <v>-4.2874222087277208E-3</v>
      </c>
    </row>
    <row r="167" spans="1:12">
      <c r="A167" s="9" t="s">
        <v>631</v>
      </c>
      <c r="B167" s="7">
        <v>34.299999999999997</v>
      </c>
      <c r="C167" s="7">
        <v>108.22</v>
      </c>
      <c r="D167" s="41">
        <v>6311</v>
      </c>
      <c r="F167" s="38">
        <f t="shared" ref="F167:H167" si="343">(B167-B168)/B168</f>
        <v>-2.4736991754336211E-2</v>
      </c>
      <c r="G167" s="38">
        <f t="shared" si="343"/>
        <v>1.4055472263868066E-2</v>
      </c>
      <c r="H167" s="38">
        <f t="shared" si="343"/>
        <v>1.746031746031746E-3</v>
      </c>
      <c r="J167" s="38">
        <f t="shared" ref="J167:L167" si="344">LN(B167/B168)</f>
        <v>-2.5048092313996968E-2</v>
      </c>
      <c r="K167" s="38">
        <f t="shared" si="344"/>
        <v>1.3957610047275717E-2</v>
      </c>
      <c r="L167" s="38">
        <f t="shared" si="344"/>
        <v>1.7445092046155547E-3</v>
      </c>
    </row>
    <row r="168" spans="1:12">
      <c r="A168" s="9" t="s">
        <v>634</v>
      </c>
      <c r="B168" s="7">
        <v>35.17</v>
      </c>
      <c r="C168" s="7">
        <v>106.72</v>
      </c>
      <c r="D168" s="41">
        <v>6300</v>
      </c>
      <c r="F168" s="38">
        <f t="shared" ref="F168:H168" si="345">(B168-B169)/B169</f>
        <v>-1.2910468706146528E-2</v>
      </c>
      <c r="G168" s="38">
        <f t="shared" si="345"/>
        <v>7.5018754688670566E-4</v>
      </c>
      <c r="H168" s="38">
        <f t="shared" si="345"/>
        <v>-3.8344467723445469E-3</v>
      </c>
      <c r="J168" s="38">
        <f t="shared" ref="J168:L168" si="346">LN(B168/B169)</f>
        <v>-1.2994533131853626E-2</v>
      </c>
      <c r="K168" s="38">
        <f t="shared" si="346"/>
        <v>7.4990629686035222E-4</v>
      </c>
      <c r="L168" s="38">
        <f t="shared" si="346"/>
        <v>-3.841817110180965E-3</v>
      </c>
    </row>
    <row r="169" spans="1:12">
      <c r="A169" s="9" t="s">
        <v>638</v>
      </c>
      <c r="B169" s="7">
        <v>35.630000000000003</v>
      </c>
      <c r="C169" s="7">
        <v>106.64</v>
      </c>
      <c r="D169" s="41">
        <v>6324.25</v>
      </c>
      <c r="F169" s="38">
        <f t="shared" ref="F169:H169" si="347">(B169-B170)/B170</f>
        <v>1.8582046883933841E-2</v>
      </c>
      <c r="G169" s="38">
        <f t="shared" si="347"/>
        <v>2.7063469132235406E-2</v>
      </c>
      <c r="H169" s="38">
        <f t="shared" si="347"/>
        <v>2.6953109516825876E-3</v>
      </c>
      <c r="J169" s="38">
        <f t="shared" ref="J169:L169" si="348">LN(B169/B170)</f>
        <v>1.8411510027288934E-2</v>
      </c>
      <c r="K169" s="38">
        <f t="shared" si="348"/>
        <v>2.6703729555090611E-2</v>
      </c>
      <c r="L169" s="38">
        <f t="shared" si="348"/>
        <v>2.6916851148299707E-3</v>
      </c>
    </row>
    <row r="170" spans="1:12">
      <c r="A170" s="9" t="s">
        <v>642</v>
      </c>
      <c r="B170" s="7">
        <v>34.979999999999997</v>
      </c>
      <c r="C170" s="7">
        <v>103.83</v>
      </c>
      <c r="D170" s="41">
        <v>6307.25</v>
      </c>
      <c r="F170" s="38">
        <f t="shared" ref="F170:H170" si="349">(B170-B171)/B171</f>
        <v>7.198387561186295E-3</v>
      </c>
      <c r="G170" s="38">
        <f t="shared" si="349"/>
        <v>-3.8522085378275735E-2</v>
      </c>
      <c r="H170" s="38">
        <f t="shared" si="349"/>
        <v>5.6202168367346936E-3</v>
      </c>
      <c r="J170" s="38">
        <f t="shared" ref="J170:L170" si="350">LN(B170/B171)</f>
        <v>7.1726028344733577E-3</v>
      </c>
      <c r="K170" s="38">
        <f t="shared" si="350"/>
        <v>-3.9283683929305757E-2</v>
      </c>
      <c r="L170" s="38">
        <f t="shared" si="350"/>
        <v>5.6044823447312358E-3</v>
      </c>
    </row>
    <row r="171" spans="1:12">
      <c r="A171" s="9" t="s">
        <v>646</v>
      </c>
      <c r="B171" s="7">
        <v>34.729999999999997</v>
      </c>
      <c r="C171" s="7">
        <v>107.99</v>
      </c>
      <c r="D171" s="41">
        <v>6272</v>
      </c>
      <c r="F171" s="38">
        <f t="shared" ref="F171:H171" si="351">(B171-B172)/B172</f>
        <v>2.1771109149749775E-2</v>
      </c>
      <c r="G171" s="38">
        <f t="shared" si="351"/>
        <v>1.6185188670367921E-2</v>
      </c>
      <c r="H171" s="38">
        <f t="shared" si="351"/>
        <v>-6.3734862970044612E-4</v>
      </c>
      <c r="J171" s="38">
        <f t="shared" ref="J171:L171" si="352">LN(B171/B172)</f>
        <v>2.1537503047957759E-2</v>
      </c>
      <c r="K171" s="38">
        <f t="shared" si="352"/>
        <v>1.6055604860064545E-2</v>
      </c>
      <c r="L171" s="38">
        <f t="shared" si="352"/>
        <v>-6.3755182267942923E-4</v>
      </c>
    </row>
    <row r="172" spans="1:12">
      <c r="A172" s="9" t="s">
        <v>649</v>
      </c>
      <c r="B172" s="7">
        <v>33.99</v>
      </c>
      <c r="C172" s="7">
        <v>106.27</v>
      </c>
      <c r="D172" s="41">
        <v>6276</v>
      </c>
      <c r="F172" s="38">
        <f t="shared" ref="F172:H172" si="353">(B172-B173)/B173</f>
        <v>-2.2433132010353785E-2</v>
      </c>
      <c r="G172" s="38">
        <f t="shared" si="353"/>
        <v>-2.2355105795768233E-2</v>
      </c>
      <c r="H172" s="38">
        <f t="shared" si="353"/>
        <v>-1.1936022917164002E-3</v>
      </c>
      <c r="J172" s="38">
        <f t="shared" ref="J172:L172" si="354">LN(B172/B173)</f>
        <v>-2.2688582311745437E-2</v>
      </c>
      <c r="K172" s="38">
        <f t="shared" si="354"/>
        <v>-2.2608768742560077E-2</v>
      </c>
      <c r="L172" s="38">
        <f t="shared" si="354"/>
        <v>-1.1943152022760319E-3</v>
      </c>
    </row>
    <row r="173" spans="1:12">
      <c r="A173" s="9" t="s">
        <v>652</v>
      </c>
      <c r="B173" s="7">
        <v>34.770000000000003</v>
      </c>
      <c r="C173" s="7">
        <v>108.7</v>
      </c>
      <c r="D173" s="41">
        <v>6283.5</v>
      </c>
      <c r="F173" s="38">
        <f t="shared" ref="F173:H173" si="355">(B173-B174)/B174</f>
        <v>-3.7249283667620476E-3</v>
      </c>
      <c r="G173" s="38">
        <f t="shared" si="355"/>
        <v>-1.8155541504832364E-2</v>
      </c>
      <c r="H173" s="38">
        <f t="shared" si="355"/>
        <v>-6.4434517927026919E-3</v>
      </c>
      <c r="J173" s="38">
        <f t="shared" ref="J173:L173" si="356">LN(B173/B174)</f>
        <v>-3.7318831886113506E-3</v>
      </c>
      <c r="K173" s="38">
        <f t="shared" si="356"/>
        <v>-1.8322375744211569E-2</v>
      </c>
      <c r="L173" s="38">
        <f t="shared" si="356"/>
        <v>-6.464300434605723E-3</v>
      </c>
    </row>
    <row r="174" spans="1:12">
      <c r="A174" s="9" t="s">
        <v>657</v>
      </c>
      <c r="B174" s="7">
        <v>34.9</v>
      </c>
      <c r="C174" s="7">
        <v>110.71</v>
      </c>
      <c r="D174" s="41">
        <v>6324.25</v>
      </c>
      <c r="F174" s="38">
        <f t="shared" ref="F174:H174" si="357">(B174-B175)/B175</f>
        <v>3.2849955608168079E-2</v>
      </c>
      <c r="G174" s="38">
        <f t="shared" si="357"/>
        <v>-2.8604018601386377E-2</v>
      </c>
      <c r="H174" s="38">
        <f t="shared" si="357"/>
        <v>7.8486055776892435E-3</v>
      </c>
      <c r="J174" s="38">
        <f t="shared" ref="J174:L174" si="358">LN(B174/B175)</f>
        <v>3.2321928482182863E-2</v>
      </c>
      <c r="K174" s="38">
        <f t="shared" si="358"/>
        <v>-2.9021085996268525E-2</v>
      </c>
      <c r="L174" s="38">
        <f t="shared" si="358"/>
        <v>7.8179654898203037E-3</v>
      </c>
    </row>
    <row r="175" spans="1:12">
      <c r="A175" s="9" t="s">
        <v>661</v>
      </c>
      <c r="B175" s="7">
        <v>33.79</v>
      </c>
      <c r="C175" s="7">
        <v>113.97</v>
      </c>
      <c r="D175" s="41">
        <v>6275</v>
      </c>
      <c r="F175" s="38">
        <f t="shared" ref="F175:H175" si="359">(B175-B176)/B176</f>
        <v>7.8174856413529017E-2</v>
      </c>
      <c r="G175" s="38">
        <f t="shared" si="359"/>
        <v>4.9378361696499626E-3</v>
      </c>
      <c r="H175" s="38">
        <f t="shared" si="359"/>
        <v>4.200840168033607E-3</v>
      </c>
      <c r="J175" s="38">
        <f t="shared" ref="J175:L175" si="360">LN(B175/B176)</f>
        <v>7.5269663798323727E-2</v>
      </c>
      <c r="K175" s="38">
        <f t="shared" si="360"/>
        <v>4.9256850404047845E-3</v>
      </c>
      <c r="L175" s="38">
        <f t="shared" si="360"/>
        <v>4.1920412722044834E-3</v>
      </c>
    </row>
    <row r="176" spans="1:12">
      <c r="A176" s="9" t="s">
        <v>664</v>
      </c>
      <c r="B176" s="7">
        <v>31.34</v>
      </c>
      <c r="C176" s="7">
        <v>113.41</v>
      </c>
      <c r="D176" s="41">
        <v>6248.75</v>
      </c>
      <c r="F176" s="38">
        <f t="shared" ref="F176:H176" si="361">(B176-B177)/B177</f>
        <v>-2.7312228429546836E-2</v>
      </c>
      <c r="G176" s="38">
        <f t="shared" si="361"/>
        <v>-5.8730715287517686E-3</v>
      </c>
      <c r="H176" s="38">
        <f t="shared" si="361"/>
        <v>-7.9952028782730362E-4</v>
      </c>
      <c r="J176" s="38">
        <f t="shared" ref="J176:L176" si="362">LN(B176/B177)</f>
        <v>-2.7692140820953521E-2</v>
      </c>
      <c r="K176" s="38">
        <f t="shared" si="362"/>
        <v>-5.8903858387466682E-3</v>
      </c>
      <c r="L176" s="38">
        <f t="shared" si="362"/>
        <v>-7.9984007463463865E-4</v>
      </c>
    </row>
    <row r="177" spans="1:12">
      <c r="A177" s="9" t="s">
        <v>666</v>
      </c>
      <c r="B177" s="7">
        <v>32.22</v>
      </c>
      <c r="C177" s="7">
        <v>114.08</v>
      </c>
      <c r="D177" s="41">
        <v>6253.75</v>
      </c>
      <c r="F177" s="38">
        <f t="shared" ref="F177:H177" si="363">(B177-B178)/B178</f>
        <v>1.3207547169811262E-2</v>
      </c>
      <c r="G177" s="38">
        <f t="shared" si="363"/>
        <v>1.3165979109979063E-3</v>
      </c>
      <c r="H177" s="38">
        <f t="shared" si="363"/>
        <v>4.8202450291223138E-3</v>
      </c>
      <c r="J177" s="38">
        <f t="shared" ref="J177:L177" si="364">LN(B177/B178)</f>
        <v>1.3121087962697058E-2</v>
      </c>
      <c r="K177" s="38">
        <f t="shared" si="364"/>
        <v>1.3157319559613571E-3</v>
      </c>
      <c r="L177" s="38">
        <f t="shared" si="364"/>
        <v>4.8086648460223744E-3</v>
      </c>
    </row>
    <row r="178" spans="1:12">
      <c r="A178" s="9" t="s">
        <v>668</v>
      </c>
      <c r="B178" s="7">
        <v>31.8</v>
      </c>
      <c r="C178" s="7">
        <v>113.93</v>
      </c>
      <c r="D178" s="41">
        <v>6223.75</v>
      </c>
      <c r="F178" s="38">
        <f t="shared" ref="F178:H178" si="365">(B178-B179)/B179</f>
        <v>6.6476733143400078E-3</v>
      </c>
      <c r="G178" s="38">
        <f t="shared" si="365"/>
        <v>-5.412483631601836E-3</v>
      </c>
      <c r="H178" s="38">
        <f t="shared" si="365"/>
        <v>4.6408393866020983E-3</v>
      </c>
      <c r="J178" s="38">
        <f t="shared" ref="J178:L178" si="366">LN(B178/B179)</f>
        <v>6.6256749721372533E-3</v>
      </c>
      <c r="K178" s="38">
        <f t="shared" si="366"/>
        <v>-5.4271841894800704E-3</v>
      </c>
      <c r="L178" s="38">
        <f t="shared" si="366"/>
        <v>4.6301038931497633E-3</v>
      </c>
    </row>
    <row r="179" spans="1:12">
      <c r="A179" s="9" t="s">
        <v>670</v>
      </c>
      <c r="B179" s="7">
        <v>31.59</v>
      </c>
      <c r="C179" s="7">
        <v>114.55</v>
      </c>
      <c r="D179" s="41">
        <v>6195</v>
      </c>
      <c r="F179" s="38">
        <f t="shared" ref="F179:H179" si="367">(B179-B180)/B180</f>
        <v>-3.5714285714285657E-2</v>
      </c>
      <c r="G179" s="38">
        <f t="shared" si="367"/>
        <v>-2.1023844115887598E-2</v>
      </c>
      <c r="H179" s="38">
        <f t="shared" si="367"/>
        <v>7.8086871644704736E-3</v>
      </c>
      <c r="J179" s="38">
        <f t="shared" ref="J179:L179" si="368">LN(B179/B180)</f>
        <v>-3.6367644170874833E-2</v>
      </c>
      <c r="K179" s="38">
        <f t="shared" si="368"/>
        <v>-2.124799233136215E-2</v>
      </c>
      <c r="L179" s="38">
        <f t="shared" si="368"/>
        <v>7.7783571562333757E-3</v>
      </c>
    </row>
    <row r="180" spans="1:12">
      <c r="A180" s="9" t="s">
        <v>673</v>
      </c>
      <c r="B180" s="7">
        <v>32.76</v>
      </c>
      <c r="C180" s="7">
        <v>117.01</v>
      </c>
      <c r="D180" s="41">
        <v>6147</v>
      </c>
      <c r="F180" s="38">
        <f t="shared" ref="F180:H180" si="369">(B180-B181)/B181</f>
        <v>1.1111111111111094E-2</v>
      </c>
      <c r="G180" s="38">
        <f t="shared" si="369"/>
        <v>3.4662658059952264E-2</v>
      </c>
      <c r="H180" s="38">
        <f t="shared" si="369"/>
        <v>1.2202562538133008E-4</v>
      </c>
      <c r="J180" s="38">
        <f t="shared" ref="J180:L180" si="370">LN(B180/B181)</f>
        <v>1.1049836186584935E-2</v>
      </c>
      <c r="K180" s="38">
        <f t="shared" si="370"/>
        <v>3.4075439347630979E-2</v>
      </c>
      <c r="L180" s="38">
        <f t="shared" si="370"/>
        <v>1.2201818086031176E-4</v>
      </c>
    </row>
    <row r="181" spans="1:12">
      <c r="A181" s="9" t="s">
        <v>675</v>
      </c>
      <c r="B181" s="7">
        <v>32.4</v>
      </c>
      <c r="C181" s="7">
        <v>113.09</v>
      </c>
      <c r="D181" s="41">
        <v>6146.25</v>
      </c>
      <c r="F181" s="38">
        <f t="shared" ref="F181:H181" si="371">(B181-B182)/B182</f>
        <v>2.6941362916006271E-2</v>
      </c>
      <c r="G181" s="38">
        <f t="shared" si="371"/>
        <v>7.0790195557913712E-4</v>
      </c>
      <c r="H181" s="38">
        <f t="shared" si="371"/>
        <v>1.1395425374362349E-2</v>
      </c>
      <c r="J181" s="38">
        <f t="shared" ref="J181:L181" si="372">LN(B181/B182)</f>
        <v>2.6584833811061439E-2</v>
      </c>
      <c r="K181" s="38">
        <f t="shared" si="372"/>
        <v>7.0765151117618884E-4</v>
      </c>
      <c r="L181" s="38">
        <f t="shared" si="372"/>
        <v>1.1330986590794005E-2</v>
      </c>
    </row>
    <row r="182" spans="1:12">
      <c r="A182" s="9" t="s">
        <v>677</v>
      </c>
      <c r="B182" s="7">
        <v>31.55</v>
      </c>
      <c r="C182" s="7">
        <v>113.01</v>
      </c>
      <c r="D182" s="41">
        <v>6077</v>
      </c>
      <c r="F182" s="38">
        <f t="shared" ref="F182:H182" si="373">(B182-B183)/B183</f>
        <v>-2.2137887413029816E-3</v>
      </c>
      <c r="G182" s="38">
        <f t="shared" si="373"/>
        <v>-4.229447528416511E-3</v>
      </c>
      <c r="H182" s="38">
        <f t="shared" si="373"/>
        <v>1.1112756459424873E-2</v>
      </c>
      <c r="J182" s="38">
        <f t="shared" ref="J182:L182" si="374">LN(B182/B183)</f>
        <v>-2.2162427941037799E-3</v>
      </c>
      <c r="K182" s="38">
        <f t="shared" si="374"/>
        <v>-4.238416940988054E-3</v>
      </c>
      <c r="L182" s="38">
        <f t="shared" si="374"/>
        <v>1.1051463452824052E-2</v>
      </c>
    </row>
    <row r="183" spans="1:12">
      <c r="A183" s="9" t="s">
        <v>680</v>
      </c>
      <c r="B183" s="7">
        <v>31.62</v>
      </c>
      <c r="C183" s="7">
        <v>113.49</v>
      </c>
      <c r="D183" s="41">
        <v>6010.21</v>
      </c>
      <c r="F183" s="38">
        <f t="shared" ref="F183:H183" si="375">(B183-B184)/B184</f>
        <v>8.2908163265306631E-3</v>
      </c>
      <c r="G183" s="38">
        <f t="shared" si="375"/>
        <v>-1.3387811875163054E-2</v>
      </c>
      <c r="H183" s="38">
        <f t="shared" si="375"/>
        <v>4.79979938142607E-3</v>
      </c>
      <c r="J183" s="38">
        <f t="shared" ref="J183:L183" si="376">LN(B183/B184)</f>
        <v>8.2566362991189721E-3</v>
      </c>
      <c r="K183" s="38">
        <f t="shared" si="376"/>
        <v>-1.3478236594871369E-2</v>
      </c>
      <c r="L183" s="38">
        <f t="shared" si="376"/>
        <v>4.7883170715723906E-3</v>
      </c>
    </row>
    <row r="184" spans="1:12">
      <c r="A184" s="9" t="s">
        <v>684</v>
      </c>
      <c r="B184" s="7">
        <v>31.36</v>
      </c>
      <c r="C184" s="7">
        <v>115.03</v>
      </c>
      <c r="D184" s="41">
        <v>5981.5</v>
      </c>
      <c r="F184" s="38">
        <f t="shared" ref="F184:H184" si="377">(B184-B185)/B185</f>
        <v>-2.0612117426608484E-2</v>
      </c>
      <c r="G184" s="38">
        <f t="shared" si="377"/>
        <v>-8.0200068989306032E-3</v>
      </c>
      <c r="H184" s="38">
        <f t="shared" si="377"/>
        <v>-5.8479532163742691E-4</v>
      </c>
      <c r="J184" s="38">
        <f t="shared" ref="J184:L184" si="378">LN(B184/B185)</f>
        <v>-2.0827512086361674E-2</v>
      </c>
      <c r="K184" s="38">
        <f t="shared" si="378"/>
        <v>-8.0523401455357274E-3</v>
      </c>
      <c r="L184" s="38">
        <f t="shared" si="378"/>
        <v>-5.8496638111467597E-4</v>
      </c>
    </row>
    <row r="185" spans="1:12">
      <c r="A185" s="9" t="s">
        <v>689</v>
      </c>
      <c r="B185" s="7">
        <v>32.020000000000003</v>
      </c>
      <c r="C185" s="7">
        <v>115.96</v>
      </c>
      <c r="D185" s="41">
        <v>5985</v>
      </c>
      <c r="F185" s="38">
        <f t="shared" ref="F185:H185" si="379">(B185-B186)/B186</f>
        <v>-0.99930790014049509</v>
      </c>
      <c r="G185" s="38">
        <f t="shared" si="379"/>
        <v>2.7376627979090892E-2</v>
      </c>
      <c r="H185" s="38">
        <f t="shared" si="379"/>
        <v>-8.4082342708031322E-3</v>
      </c>
      <c r="J185" s="38">
        <f t="shared" ref="J185:L185" si="380">LN(B185/B186)</f>
        <v>-7.2757803071145615</v>
      </c>
      <c r="K185" s="38">
        <f t="shared" si="380"/>
        <v>2.7008590085919607E-2</v>
      </c>
      <c r="L185" s="38">
        <f t="shared" si="380"/>
        <v>-8.4437828801901121E-3</v>
      </c>
    </row>
    <row r="186" spans="1:12">
      <c r="A186" s="9" t="s">
        <v>693</v>
      </c>
      <c r="B186" s="7">
        <v>46265</v>
      </c>
      <c r="C186" s="7">
        <v>112.87</v>
      </c>
      <c r="D186" s="41">
        <v>6035.75</v>
      </c>
      <c r="F186" s="38">
        <f t="shared" ref="F186:H186" si="381">(B186-B187)/B187</f>
        <v>1430.9096255029403</v>
      </c>
      <c r="G186" s="38">
        <f t="shared" si="381"/>
        <v>-3.2155719430629393E-2</v>
      </c>
      <c r="H186" s="38">
        <f t="shared" si="381"/>
        <v>9.4493456537191114E-3</v>
      </c>
      <c r="J186" s="38">
        <f t="shared" ref="J186:L186" si="382">LN(B186/B187)</f>
        <v>7.2667642348467236</v>
      </c>
      <c r="K186" s="38">
        <f t="shared" si="382"/>
        <v>-3.2684071826475043E-2</v>
      </c>
      <c r="L186" s="38">
        <f t="shared" si="382"/>
        <v>9.404979853289322E-3</v>
      </c>
    </row>
    <row r="187" spans="1:12">
      <c r="A187" s="9" t="s">
        <v>696</v>
      </c>
      <c r="B187" s="7">
        <v>32.31</v>
      </c>
      <c r="C187" s="7">
        <v>116.62</v>
      </c>
      <c r="D187" s="41">
        <v>5979.25</v>
      </c>
      <c r="F187" s="38">
        <f t="shared" ref="F187:H187" si="383">(B187-B188)/B188</f>
        <v>-1.4037229173024132E-2</v>
      </c>
      <c r="G187" s="38">
        <f t="shared" si="383"/>
        <v>-1.4451111298909776E-2</v>
      </c>
      <c r="H187" s="38">
        <f t="shared" si="383"/>
        <v>-1.1612529961153814E-2</v>
      </c>
      <c r="J187" s="38">
        <f t="shared" ref="J187:L187" si="384">LN(B187/B188)</f>
        <v>-1.4136682874316311E-2</v>
      </c>
      <c r="K187" s="38">
        <f t="shared" si="384"/>
        <v>-1.4556545602457449E-2</v>
      </c>
      <c r="L187" s="38">
        <f t="shared" si="384"/>
        <v>-1.1680481962558336E-2</v>
      </c>
    </row>
    <row r="188" spans="1:12">
      <c r="A188" s="9" t="s">
        <v>698</v>
      </c>
      <c r="B188" s="7">
        <v>32.770000000000003</v>
      </c>
      <c r="C188" s="7">
        <v>118.33</v>
      </c>
      <c r="D188" s="41">
        <v>6049.5</v>
      </c>
      <c r="F188" s="38">
        <f t="shared" ref="F188:H188" si="385">(B188-B189)/B189</f>
        <v>-1.9742746036494067E-2</v>
      </c>
      <c r="G188" s="38">
        <f t="shared" si="385"/>
        <v>-1.268251981643718E-2</v>
      </c>
      <c r="H188" s="38">
        <f t="shared" si="385"/>
        <v>3.4002322109802619E-3</v>
      </c>
      <c r="J188" s="38">
        <f t="shared" ref="J188:L188" si="386">LN(B188/B189)</f>
        <v>-1.9940237721283907E-2</v>
      </c>
      <c r="K188" s="38">
        <f t="shared" si="386"/>
        <v>-1.2763629483925881E-2</v>
      </c>
      <c r="L188" s="38">
        <f t="shared" si="386"/>
        <v>3.3944644921269909E-3</v>
      </c>
    </row>
    <row r="189" spans="1:12">
      <c r="A189" s="9" t="s">
        <v>700</v>
      </c>
      <c r="B189" s="7">
        <v>33.43</v>
      </c>
      <c r="C189" s="7">
        <v>119.85</v>
      </c>
      <c r="D189" s="41">
        <v>6029</v>
      </c>
      <c r="F189" s="38">
        <f t="shared" ref="F189:H189" si="387">(B189-B190)/B190</f>
        <v>3.8521279900590309E-2</v>
      </c>
      <c r="G189" s="38">
        <f t="shared" si="387"/>
        <v>3.2646911099949824E-3</v>
      </c>
      <c r="H189" s="38">
        <f t="shared" si="387"/>
        <v>-2.6468155500413565E-3</v>
      </c>
      <c r="J189" s="38">
        <f t="shared" ref="J189:L189" si="388">LN(B189/B190)</f>
        <v>3.779785512129049E-2</v>
      </c>
      <c r="K189" s="38">
        <f t="shared" si="388"/>
        <v>3.2593735762334081E-3</v>
      </c>
      <c r="L189" s="38">
        <f t="shared" si="388"/>
        <v>-2.6503245594874407E-3</v>
      </c>
    </row>
    <row r="190" spans="1:12">
      <c r="A190" s="9" t="s">
        <v>702</v>
      </c>
      <c r="B190" s="7">
        <v>32.19</v>
      </c>
      <c r="C190" s="7">
        <v>119.46</v>
      </c>
      <c r="D190" s="41">
        <v>6045</v>
      </c>
      <c r="F190" s="38">
        <f t="shared" ref="F190:H190" si="389">(B190-B191)/B191</f>
        <v>2.2554002541295973E-2</v>
      </c>
      <c r="G190" s="38">
        <f t="shared" si="389"/>
        <v>1.7546848381601261E-2</v>
      </c>
      <c r="H190" s="38">
        <f t="shared" si="389"/>
        <v>5.7817894430348153E-3</v>
      </c>
      <c r="J190" s="38">
        <f t="shared" ref="J190:L190" si="390">LN(B190/B191)</f>
        <v>2.2303421761514283E-2</v>
      </c>
      <c r="K190" s="38">
        <f t="shared" si="390"/>
        <v>1.7394679910163743E-2</v>
      </c>
      <c r="L190" s="38">
        <f t="shared" si="390"/>
        <v>5.7651390470146073E-3</v>
      </c>
    </row>
    <row r="191" spans="1:12">
      <c r="A191" s="9" t="s">
        <v>704</v>
      </c>
      <c r="B191" s="7">
        <v>31.48</v>
      </c>
      <c r="C191" s="7">
        <v>117.4</v>
      </c>
      <c r="D191" s="41">
        <v>6010.25</v>
      </c>
      <c r="F191" s="38">
        <f t="shared" ref="F191:H191" si="391">(B191-B192)/B192</f>
        <v>9.621552277100728E-3</v>
      </c>
      <c r="G191" s="38">
        <f t="shared" si="391"/>
        <v>-4.8317368822581438E-3</v>
      </c>
      <c r="H191" s="38">
        <f t="shared" si="391"/>
        <v>5.8267782078495029E-4</v>
      </c>
      <c r="J191" s="38">
        <f t="shared" ref="J191:L191" si="392">LN(B191/B192)</f>
        <v>9.5755599195721311E-3</v>
      </c>
      <c r="K191" s="38">
        <f t="shared" si="392"/>
        <v>-4.8434474597549605E-3</v>
      </c>
      <c r="L191" s="38">
        <f t="shared" si="392"/>
        <v>5.8250812997701236E-4</v>
      </c>
    </row>
    <row r="192" spans="1:12">
      <c r="A192" s="9" t="s">
        <v>706</v>
      </c>
      <c r="B192" s="7">
        <v>31.18</v>
      </c>
      <c r="C192" s="7">
        <v>117.97</v>
      </c>
      <c r="D192" s="41">
        <v>6006.75</v>
      </c>
      <c r="F192" s="38">
        <f t="shared" ref="F192:H192" si="393">(B192-B193)/B193</f>
        <v>-1.2040557667934063E-2</v>
      </c>
      <c r="G192" s="38">
        <f t="shared" si="393"/>
        <v>4.3419036267666024E-3</v>
      </c>
      <c r="H192" s="38">
        <f t="shared" si="393"/>
        <v>1.0216952573158427E-2</v>
      </c>
      <c r="J192" s="38">
        <f t="shared" ref="J192:L192" si="394">LN(B192/B193)</f>
        <v>-1.2113632348043043E-2</v>
      </c>
      <c r="K192" s="38">
        <f t="shared" si="394"/>
        <v>4.3325047593777968E-3</v>
      </c>
      <c r="L192" s="38">
        <f t="shared" si="394"/>
        <v>1.0165112313858277E-2</v>
      </c>
    </row>
    <row r="193" spans="1:12">
      <c r="A193" s="9" t="s">
        <v>709</v>
      </c>
      <c r="B193" s="7">
        <v>31.56</v>
      </c>
      <c r="C193" s="7">
        <v>117.46</v>
      </c>
      <c r="D193" s="41">
        <v>5946</v>
      </c>
      <c r="F193" s="38">
        <f t="shared" ref="F193:H193" si="395">(B193-B194)/B194</f>
        <v>2.7009437032216019E-2</v>
      </c>
      <c r="G193" s="38">
        <f t="shared" si="395"/>
        <v>3.8917388996992673E-2</v>
      </c>
      <c r="H193" s="38">
        <f t="shared" si="395"/>
        <v>-5.8518642367497075E-3</v>
      </c>
      <c r="J193" s="38">
        <f t="shared" ref="J193:L193" si="396">LN(B193/B194)</f>
        <v>2.6651119835280165E-2</v>
      </c>
      <c r="K193" s="38">
        <f t="shared" si="396"/>
        <v>3.8179198847228639E-2</v>
      </c>
      <c r="L193" s="38">
        <f t="shared" si="396"/>
        <v>-5.8690534865139792E-3</v>
      </c>
    </row>
    <row r="194" spans="1:12">
      <c r="A194" s="9" t="s">
        <v>713</v>
      </c>
      <c r="B194" s="7">
        <v>30.73</v>
      </c>
      <c r="C194" s="7">
        <v>113.06</v>
      </c>
      <c r="D194" s="41">
        <v>5981</v>
      </c>
      <c r="F194" s="38">
        <f t="shared" ref="F194:H194" si="397">(B194-B195)/B195</f>
        <v>4.5238095238095306E-2</v>
      </c>
      <c r="G194" s="38">
        <f t="shared" si="397"/>
        <v>1.9496632399858104E-3</v>
      </c>
      <c r="H194" s="38">
        <f t="shared" si="397"/>
        <v>-8.359107247345983E-5</v>
      </c>
      <c r="J194" s="38">
        <f t="shared" ref="J194:L194" si="398">LN(B194/B195)</f>
        <v>4.424470179775742E-2</v>
      </c>
      <c r="K194" s="38">
        <f t="shared" si="398"/>
        <v>1.9477651133491844E-3</v>
      </c>
      <c r="L194" s="38">
        <f t="shared" si="398"/>
        <v>-8.3594566401873116E-5</v>
      </c>
    </row>
    <row r="195" spans="1:12">
      <c r="A195" s="9" t="s">
        <v>715</v>
      </c>
      <c r="B195" s="7">
        <v>29.4</v>
      </c>
      <c r="C195" s="7">
        <v>112.84</v>
      </c>
      <c r="D195" s="41">
        <v>5981.5</v>
      </c>
      <c r="F195" s="38">
        <f t="shared" ref="F195:H195" si="399">(B195-B196)/B196</f>
        <v>-2.4552090245520967E-2</v>
      </c>
      <c r="G195" s="38">
        <f t="shared" si="399"/>
        <v>7.9499776686020596E-3</v>
      </c>
      <c r="H195" s="38">
        <f t="shared" si="399"/>
        <v>5.7589642271638156E-3</v>
      </c>
      <c r="J195" s="38">
        <f t="shared" ref="J195:L195" si="400">LN(B195/B196)</f>
        <v>-2.4858518853713537E-2</v>
      </c>
      <c r="K195" s="38">
        <f t="shared" si="400"/>
        <v>7.9185430890317092E-3</v>
      </c>
      <c r="L195" s="38">
        <f t="shared" si="400"/>
        <v>5.7424447855831447E-3</v>
      </c>
    </row>
    <row r="196" spans="1:12">
      <c r="A196" s="9" t="s">
        <v>718</v>
      </c>
      <c r="B196" s="7">
        <v>30.14</v>
      </c>
      <c r="C196" s="7">
        <v>111.95</v>
      </c>
      <c r="D196" s="41">
        <v>5947.25</v>
      </c>
      <c r="F196" s="38">
        <f t="shared" ref="F196:H196" si="401">(B196-B197)/B197</f>
        <v>0</v>
      </c>
      <c r="G196" s="38">
        <f t="shared" si="401"/>
        <v>-2.8464809511411969E-2</v>
      </c>
      <c r="H196" s="38">
        <f t="shared" si="401"/>
        <v>5.2822853279242731E-3</v>
      </c>
      <c r="J196" s="38">
        <f t="shared" ref="J196:L196" si="402">LN(B196/B197)</f>
        <v>0</v>
      </c>
      <c r="K196" s="38">
        <f t="shared" si="402"/>
        <v>-2.8877787981159277E-2</v>
      </c>
      <c r="L196" s="38">
        <f t="shared" si="402"/>
        <v>5.2683829946852416E-3</v>
      </c>
    </row>
    <row r="197" spans="1:12">
      <c r="A197" s="9" t="s">
        <v>720</v>
      </c>
      <c r="B197" s="7">
        <v>30.14</v>
      </c>
      <c r="C197" s="7">
        <v>115.23</v>
      </c>
      <c r="D197" s="41">
        <v>5916</v>
      </c>
      <c r="F197" s="38">
        <f t="shared" ref="F197:H197" si="403">(B197-B198)/B198</f>
        <v>-0.99934981447924753</v>
      </c>
      <c r="G197" s="38">
        <f t="shared" si="403"/>
        <v>3.7456445993031954E-3</v>
      </c>
      <c r="H197" s="38">
        <f t="shared" si="403"/>
        <v>-1.1396732936558187E-3</v>
      </c>
      <c r="J197" s="38">
        <f t="shared" ref="J197:L197" si="404">LN(B197/B198)</f>
        <v>-7.3382528192559322</v>
      </c>
      <c r="K197" s="38">
        <f t="shared" si="404"/>
        <v>3.7386471404570968E-3</v>
      </c>
      <c r="L197" s="38">
        <f t="shared" si="404"/>
        <v>-1.140323215109641E-3</v>
      </c>
    </row>
    <row r="198" spans="1:12">
      <c r="A198" s="9" t="s">
        <v>724</v>
      </c>
      <c r="B198" s="7">
        <v>46356</v>
      </c>
      <c r="C198" s="7">
        <v>114.8</v>
      </c>
      <c r="D198" s="41">
        <v>5922.75</v>
      </c>
      <c r="F198" s="38">
        <f t="shared" ref="F198:H198" si="405">(B198-B199)/B199</f>
        <v>1506.5121951219512</v>
      </c>
      <c r="G198" s="38">
        <f t="shared" si="405"/>
        <v>-2.3228111971411589E-2</v>
      </c>
      <c r="H198" s="38">
        <f t="shared" si="405"/>
        <v>3.3882512388293592E-3</v>
      </c>
      <c r="J198" s="38">
        <f t="shared" ref="J198:L198" si="406">LN(B198/B199)</f>
        <v>7.3182160182017544</v>
      </c>
      <c r="K198" s="38">
        <f t="shared" si="406"/>
        <v>-2.3502136259296775E-2</v>
      </c>
      <c r="L198" s="38">
        <f t="shared" si="406"/>
        <v>3.3825240487272228E-3</v>
      </c>
    </row>
    <row r="199" spans="1:12">
      <c r="A199" s="9" t="s">
        <v>726</v>
      </c>
      <c r="B199" s="7">
        <v>30.75</v>
      </c>
      <c r="C199" s="7">
        <v>117.53</v>
      </c>
      <c r="D199" s="41">
        <v>5902.75</v>
      </c>
      <c r="F199" s="38">
        <f t="shared" ref="F199:H199" si="407">(B199-B200)/B200</f>
        <v>3.9905309435238408E-2</v>
      </c>
      <c r="G199" s="38">
        <f t="shared" si="407"/>
        <v>-1.0023584905660358E-2</v>
      </c>
      <c r="H199" s="38">
        <f t="shared" si="407"/>
        <v>-5.308168681804777E-3</v>
      </c>
      <c r="J199" s="38">
        <f t="shared" ref="J199:L199" si="408">LN(B199/B200)</f>
        <v>3.9129660388141009E-2</v>
      </c>
      <c r="K199" s="38">
        <f t="shared" si="408"/>
        <v>-1.0074159274307538E-2</v>
      </c>
      <c r="L199" s="38">
        <f t="shared" si="408"/>
        <v>-5.3223070639883173E-3</v>
      </c>
    </row>
    <row r="200" spans="1:12">
      <c r="A200" s="9" t="s">
        <v>727</v>
      </c>
      <c r="B200" s="7">
        <v>29.57</v>
      </c>
      <c r="C200" s="7">
        <v>118.72</v>
      </c>
      <c r="D200" s="41">
        <v>5934.25</v>
      </c>
      <c r="F200" s="38">
        <f t="shared" ref="F200:H200" si="409">(B200-B201)/B201</f>
        <v>-0.99935872134631654</v>
      </c>
      <c r="G200" s="38">
        <f t="shared" si="409"/>
        <v>-6.1945421061442739E-3</v>
      </c>
      <c r="H200" s="38">
        <f t="shared" si="409"/>
        <v>2.0156438026474127E-2</v>
      </c>
      <c r="J200" s="38">
        <f t="shared" ref="J200:L200" si="410">LN(B200/B201)</f>
        <v>-7.3520464783707729</v>
      </c>
      <c r="K200" s="38">
        <f t="shared" si="410"/>
        <v>-6.2138078850895182E-3</v>
      </c>
      <c r="L200" s="38">
        <f t="shared" si="410"/>
        <v>1.9955986150299723E-2</v>
      </c>
    </row>
    <row r="201" spans="1:12">
      <c r="A201" s="9" t="s">
        <v>730</v>
      </c>
      <c r="B201" s="7">
        <v>46111</v>
      </c>
      <c r="C201" s="7">
        <v>119.46</v>
      </c>
      <c r="D201" s="41">
        <v>5817</v>
      </c>
      <c r="F201" s="38">
        <f t="shared" ref="F201:H201" si="411">(B201-B202)/B202</f>
        <v>-1.9912126918165485E-3</v>
      </c>
      <c r="G201" s="38">
        <f t="shared" si="411"/>
        <v>-1.7113707421425147E-2</v>
      </c>
      <c r="H201" s="38">
        <f t="shared" si="411"/>
        <v>-6.7870405941861953E-3</v>
      </c>
      <c r="J201" s="38">
        <f t="shared" ref="J201:L201" si="412">LN(B201/B202)</f>
        <v>-1.99319779141667E-3</v>
      </c>
      <c r="K201" s="38">
        <f t="shared" si="412"/>
        <v>-1.7261839403049345E-2</v>
      </c>
      <c r="L201" s="38">
        <f t="shared" si="412"/>
        <v>-6.8101773001326702E-3</v>
      </c>
    </row>
    <row r="202" spans="1:12">
      <c r="A202" s="9" t="s">
        <v>733</v>
      </c>
      <c r="B202" s="7">
        <v>46203</v>
      </c>
      <c r="C202" s="7">
        <v>121.54</v>
      </c>
      <c r="D202" s="41">
        <v>5856.75</v>
      </c>
      <c r="F202" s="38">
        <f t="shared" ref="F202:H202" si="413">(B202-B203)/B203</f>
        <v>1446.9160137887809</v>
      </c>
      <c r="G202" s="38">
        <f t="shared" si="413"/>
        <v>-1.2512187195320053E-2</v>
      </c>
      <c r="H202" s="38">
        <f t="shared" si="413"/>
        <v>-7.6775431861804226E-4</v>
      </c>
      <c r="J202" s="38">
        <f t="shared" ref="J202:L202" si="414">LN(B202/B203)</f>
        <v>7.2778805697364231</v>
      </c>
      <c r="K202" s="38">
        <f t="shared" si="414"/>
        <v>-1.25911237466319E-2</v>
      </c>
      <c r="L202" s="38">
        <f t="shared" si="414"/>
        <v>-7.6804919290196093E-4</v>
      </c>
    </row>
    <row r="203" spans="1:12">
      <c r="A203" s="9" t="s">
        <v>736</v>
      </c>
      <c r="B203" s="7">
        <v>31.91</v>
      </c>
      <c r="C203" s="7">
        <v>123.08</v>
      </c>
      <c r="D203" s="41">
        <v>5861.25</v>
      </c>
      <c r="F203" s="38">
        <f t="shared" ref="F203:H203" si="415">(B203-B204)/B204</f>
        <v>0</v>
      </c>
      <c r="G203" s="38">
        <f t="shared" si="415"/>
        <v>1.7863049950380388E-2</v>
      </c>
      <c r="H203" s="38">
        <f t="shared" si="415"/>
        <v>-1.6527538906833339E-2</v>
      </c>
      <c r="J203" s="38">
        <f t="shared" ref="J203:L203" si="416">LN(B203/B204)</f>
        <v>0</v>
      </c>
      <c r="K203" s="38">
        <f t="shared" si="416"/>
        <v>1.7705380542583818E-2</v>
      </c>
      <c r="L203" s="38">
        <f t="shared" si="416"/>
        <v>-1.6665642467103545E-2</v>
      </c>
    </row>
    <row r="204" spans="1:12">
      <c r="A204" s="9" t="s">
        <v>738</v>
      </c>
      <c r="B204" s="7">
        <v>31.91</v>
      </c>
      <c r="C204" s="7">
        <v>120.92</v>
      </c>
      <c r="D204" s="41">
        <v>5959.75</v>
      </c>
      <c r="F204" s="38">
        <f t="shared" ref="F204:H204" si="417">(B204-B205)/B205</f>
        <v>-9.3138776777398537E-3</v>
      </c>
      <c r="G204" s="38">
        <f t="shared" si="417"/>
        <v>-4.0359113746807913E-3</v>
      </c>
      <c r="H204" s="38">
        <f t="shared" si="417"/>
        <v>-3.8027580442958628E-3</v>
      </c>
      <c r="J204" s="38">
        <f t="shared" ref="J204:L204" si="418">LN(B204/B205)</f>
        <v>-9.3575230529553185E-3</v>
      </c>
      <c r="K204" s="38">
        <f t="shared" si="418"/>
        <v>-4.0440776446266048E-3</v>
      </c>
      <c r="L204" s="38">
        <f t="shared" si="418"/>
        <v>-3.8100069116287858E-3</v>
      </c>
    </row>
    <row r="205" spans="1:12">
      <c r="A205" s="9" t="s">
        <v>739</v>
      </c>
      <c r="B205" s="7">
        <v>32.21</v>
      </c>
      <c r="C205" s="7">
        <v>121.41</v>
      </c>
      <c r="D205" s="41">
        <v>5982.5</v>
      </c>
      <c r="F205" s="38">
        <f t="shared" ref="F205:H205" si="419">(B205-B206)/B206</f>
        <v>-9.3052109181144963E-4</v>
      </c>
      <c r="G205" s="38">
        <f t="shared" si="419"/>
        <v>-3.5292186474064906E-3</v>
      </c>
      <c r="H205" s="38">
        <f t="shared" si="419"/>
        <v>1.1714500878587566E-3</v>
      </c>
      <c r="J205" s="38">
        <f t="shared" ref="J205:L205" si="420">LN(B205/B206)</f>
        <v>-9.3095429532013478E-4</v>
      </c>
      <c r="K205" s="38">
        <f t="shared" si="420"/>
        <v>-3.5354610310225584E-3</v>
      </c>
      <c r="L205" s="38">
        <f t="shared" si="420"/>
        <v>1.1707644755927506E-3</v>
      </c>
    </row>
    <row r="206" spans="1:12">
      <c r="A206" s="9" t="s">
        <v>741</v>
      </c>
      <c r="B206" s="7">
        <v>32.24</v>
      </c>
      <c r="C206" s="7">
        <v>121.84</v>
      </c>
      <c r="D206" s="41">
        <v>5975.5</v>
      </c>
      <c r="F206" s="38">
        <f t="shared" ref="F206:H206" si="421">(B206-B207)/B207</f>
        <v>8.7609511889862688E-3</v>
      </c>
      <c r="G206" s="38">
        <f t="shared" si="421"/>
        <v>-7.5709300561371498E-2</v>
      </c>
      <c r="H206" s="38">
        <f t="shared" si="421"/>
        <v>7.1208865293051872E-3</v>
      </c>
      <c r="J206" s="38">
        <f t="shared" ref="J206:L206" si="422">LN(B206/B207)</f>
        <v>8.7227967403537346E-3</v>
      </c>
      <c r="K206" s="38">
        <f t="shared" si="422"/>
        <v>-7.8728647037667382E-2</v>
      </c>
      <c r="L206" s="38">
        <f t="shared" si="422"/>
        <v>7.0956527373201286E-3</v>
      </c>
    </row>
    <row r="207" spans="1:12">
      <c r="A207" s="9" t="s">
        <v>743</v>
      </c>
      <c r="B207" s="7">
        <v>31.96</v>
      </c>
      <c r="C207" s="7">
        <v>131.82</v>
      </c>
      <c r="D207" s="41">
        <v>5933.25</v>
      </c>
      <c r="F207" s="38">
        <f t="shared" ref="F207:H207" si="423">(B207-B208)/B208</f>
        <v>-1.6312711603570364E-2</v>
      </c>
      <c r="G207" s="38">
        <f t="shared" si="423"/>
        <v>1.8229568978835046E-2</v>
      </c>
      <c r="H207" s="38">
        <f t="shared" si="423"/>
        <v>4.1888804265041886E-3</v>
      </c>
      <c r="J207" s="38">
        <f t="shared" ref="J207:L207" si="424">LN(B207/B208)</f>
        <v>-1.6447228782935083E-2</v>
      </c>
      <c r="K207" s="38">
        <f t="shared" si="424"/>
        <v>1.8065402507209539E-2</v>
      </c>
      <c r="L207" s="38">
        <f t="shared" si="424"/>
        <v>4.1801314905452304E-3</v>
      </c>
    </row>
    <row r="208" spans="1:12">
      <c r="A208" s="9" t="s">
        <v>745</v>
      </c>
      <c r="B208" s="7">
        <v>32.49</v>
      </c>
      <c r="C208" s="7">
        <v>129.46</v>
      </c>
      <c r="D208" s="41">
        <v>5908.5</v>
      </c>
      <c r="F208" s="38">
        <f t="shared" ref="F208:H208" si="425">(B208-B209)/B209</f>
        <v>-4.2905301869445465E-3</v>
      </c>
      <c r="G208" s="38">
        <f t="shared" si="425"/>
        <v>-6.8277713847333058E-3</v>
      </c>
      <c r="H208" s="38">
        <f t="shared" si="425"/>
        <v>6.7744940299771365E-4</v>
      </c>
      <c r="J208" s="38">
        <f t="shared" ref="J208:L208" si="426">LN(B208/B209)</f>
        <v>-4.2997609242203753E-3</v>
      </c>
      <c r="K208" s="38">
        <f t="shared" si="426"/>
        <v>-6.8511872621465353E-3</v>
      </c>
      <c r="L208" s="38">
        <f t="shared" si="426"/>
        <v>6.7722003773399331E-4</v>
      </c>
    </row>
    <row r="209" spans="1:12">
      <c r="A209" s="9" t="s">
        <v>746</v>
      </c>
      <c r="B209" s="7">
        <v>32.630000000000003</v>
      </c>
      <c r="C209" s="7">
        <v>130.35</v>
      </c>
      <c r="D209" s="41">
        <v>5904.5</v>
      </c>
      <c r="F209" s="38">
        <f t="shared" ref="F209:H209" si="427">(B209-B210)/B210</f>
        <v>0.11175468483816017</v>
      </c>
      <c r="G209" s="38">
        <f t="shared" si="427"/>
        <v>5.7606490872210904E-2</v>
      </c>
      <c r="H209" s="38">
        <f t="shared" si="427"/>
        <v>6.7348678601875534E-3</v>
      </c>
      <c r="J209" s="38">
        <f t="shared" ref="J209:L209" si="428">LN(B209/B210)</f>
        <v>0.10593956433112375</v>
      </c>
      <c r="K209" s="38">
        <f t="shared" si="428"/>
        <v>5.6008327456711221E-2</v>
      </c>
      <c r="L209" s="38">
        <f t="shared" si="428"/>
        <v>6.7122899537604159E-3</v>
      </c>
    </row>
    <row r="210" spans="1:12">
      <c r="A210" s="9" t="s">
        <v>748</v>
      </c>
      <c r="B210" s="7">
        <v>29.35</v>
      </c>
      <c r="C210" s="7">
        <v>123.25</v>
      </c>
      <c r="D210" s="41">
        <v>5865</v>
      </c>
      <c r="F210" s="38">
        <f t="shared" ref="F210:H210" si="429">(B210-B211)/B211</f>
        <v>-4.614884627884297E-2</v>
      </c>
      <c r="G210" s="38">
        <f t="shared" si="429"/>
        <v>-3.6378334680679291E-3</v>
      </c>
      <c r="H210" s="38">
        <f t="shared" si="429"/>
        <v>3.2934131736526949E-2</v>
      </c>
      <c r="J210" s="38">
        <f t="shared" ref="J210:L210" si="430">LN(B210/B211)</f>
        <v>-4.724764305984494E-2</v>
      </c>
      <c r="K210" s="38">
        <f t="shared" si="430"/>
        <v>-3.6444664756427173E-3</v>
      </c>
      <c r="L210" s="38">
        <f t="shared" si="430"/>
        <v>3.240342405465943E-2</v>
      </c>
    </row>
    <row r="211" spans="1:12">
      <c r="A211" s="9" t="s">
        <v>750</v>
      </c>
      <c r="B211" s="7">
        <v>30.77</v>
      </c>
      <c r="C211" s="7">
        <v>123.7</v>
      </c>
      <c r="D211" s="41">
        <v>5678</v>
      </c>
      <c r="F211" s="38">
        <f t="shared" ref="F211:H211" si="431">(B211-B212)/B212</f>
        <v>3.3938172043010681E-2</v>
      </c>
      <c r="G211" s="38">
        <f t="shared" si="431"/>
        <v>2.0795510810364713E-2</v>
      </c>
      <c r="H211" s="38">
        <f t="shared" si="431"/>
        <v>-1.1434602867446565E-3</v>
      </c>
      <c r="J211" s="38">
        <f t="shared" ref="J211:L211" si="432">LN(B211/B212)</f>
        <v>3.3374979369059338E-2</v>
      </c>
      <c r="K211" s="38">
        <f t="shared" si="432"/>
        <v>2.0582235881599267E-2</v>
      </c>
      <c r="L211" s="38">
        <f t="shared" si="432"/>
        <v>-1.1441145362447278E-3</v>
      </c>
    </row>
    <row r="212" spans="1:12">
      <c r="A212" s="9" t="s">
        <v>752</v>
      </c>
      <c r="B212" s="7">
        <v>29.76</v>
      </c>
      <c r="C212" s="7">
        <v>121.18</v>
      </c>
      <c r="D212" s="41">
        <v>5684.5</v>
      </c>
      <c r="F212" s="38">
        <f t="shared" ref="F212:H212" si="433">(B212-B213)/B213</f>
        <v>-0.99935799805846182</v>
      </c>
      <c r="G212" s="38">
        <f t="shared" si="433"/>
        <v>-3.4729966544527632E-2</v>
      </c>
      <c r="H212" s="38">
        <f t="shared" si="433"/>
        <v>5.7501769285208774E-3</v>
      </c>
      <c r="J212" s="38">
        <f t="shared" ref="J212:L212" si="434">LN(B212/B213)</f>
        <v>-7.3509192300761912</v>
      </c>
      <c r="K212" s="38">
        <f t="shared" si="434"/>
        <v>-3.5347389372542684E-2</v>
      </c>
      <c r="L212" s="38">
        <f t="shared" si="434"/>
        <v>5.7337077647431987E-3</v>
      </c>
    </row>
    <row r="213" spans="1:12">
      <c r="A213" s="9" t="s">
        <v>753</v>
      </c>
      <c r="B213" s="7">
        <v>46355</v>
      </c>
      <c r="C213" s="7">
        <v>125.54</v>
      </c>
      <c r="D213" s="41">
        <v>5652</v>
      </c>
      <c r="F213" s="38">
        <f t="shared" ref="F213:H213" si="435">(B213-B214)/B214</f>
        <v>1559.2490743857286</v>
      </c>
      <c r="G213" s="38">
        <f t="shared" si="435"/>
        <v>8.5964489435205859E-3</v>
      </c>
      <c r="H213" s="38">
        <f t="shared" si="435"/>
        <v>4.6660445273963473E-3</v>
      </c>
      <c r="J213" s="38">
        <f t="shared" ref="J213:L213" si="436">LN(B213/B214)</f>
        <v>7.352600750566566</v>
      </c>
      <c r="K213" s="38">
        <f t="shared" si="436"/>
        <v>8.559709876499547E-3</v>
      </c>
      <c r="L213" s="38">
        <f t="shared" si="436"/>
        <v>4.6551922865626155E-3</v>
      </c>
    </row>
    <row r="214" spans="1:12">
      <c r="A214" s="9" t="s">
        <v>754</v>
      </c>
      <c r="B214" s="7">
        <v>29.71</v>
      </c>
      <c r="C214" s="7">
        <v>124.47</v>
      </c>
      <c r="D214" s="41">
        <v>5625.75</v>
      </c>
      <c r="F214" s="38">
        <f t="shared" ref="F214:H214" si="437">(B214-B215)/B215</f>
        <v>-7.018716577540135E-3</v>
      </c>
      <c r="G214" s="38">
        <f t="shared" si="437"/>
        <v>6.4688283334680772E-3</v>
      </c>
      <c r="H214" s="38">
        <f t="shared" si="437"/>
        <v>-8.1103715784369909E-3</v>
      </c>
      <c r="J214" s="38">
        <f t="shared" ref="J214:L214" si="438">LN(B214/B215)</f>
        <v>-7.0434636317602767E-3</v>
      </c>
      <c r="K214" s="38">
        <f t="shared" si="438"/>
        <v>6.4479952589206069E-3</v>
      </c>
      <c r="L214" s="38">
        <f t="shared" si="438"/>
        <v>-8.1434395591146753E-3</v>
      </c>
    </row>
    <row r="215" spans="1:12">
      <c r="A215" s="9" t="s">
        <v>756</v>
      </c>
      <c r="B215" s="7">
        <v>29.92</v>
      </c>
      <c r="C215" s="7">
        <v>123.67</v>
      </c>
      <c r="D215" s="41">
        <v>5671.75</v>
      </c>
      <c r="F215" s="38">
        <f t="shared" ref="F215:H215" si="439">(B215-B216)/B216</f>
        <v>-0.99935197418292876</v>
      </c>
      <c r="G215" s="38">
        <f t="shared" si="439"/>
        <v>4.3364549059309886E-2</v>
      </c>
      <c r="H215" s="38">
        <f t="shared" si="439"/>
        <v>-6.5247854265195306E-3</v>
      </c>
      <c r="J215" s="38">
        <f t="shared" ref="J215:L215" si="440">LN(B215/B216)</f>
        <v>-7.3415800212461901</v>
      </c>
      <c r="K215" s="38">
        <f t="shared" si="440"/>
        <v>4.2450634662556733E-2</v>
      </c>
      <c r="L215" s="38">
        <f t="shared" si="440"/>
        <v>-6.5461648872891616E-3</v>
      </c>
    </row>
    <row r="216" spans="1:12">
      <c r="A216" s="9" t="s">
        <v>759</v>
      </c>
      <c r="B216" s="7">
        <v>46171</v>
      </c>
      <c r="C216" s="7">
        <v>118.53</v>
      </c>
      <c r="D216" s="41">
        <v>5709</v>
      </c>
      <c r="F216" s="38">
        <f t="shared" ref="F216:H216" si="441">(B216-B217)/B217</f>
        <v>1615.6316526610647</v>
      </c>
      <c r="G216" s="38">
        <f t="shared" si="441"/>
        <v>9.2813351498637897E-3</v>
      </c>
      <c r="H216" s="38">
        <f t="shared" si="441"/>
        <v>1.5249188636464678E-2</v>
      </c>
      <c r="J216" s="38">
        <f t="shared" ref="J216:L216" si="442">LN(B216/B217)</f>
        <v>7.3881000368810827</v>
      </c>
      <c r="K216" s="38">
        <f t="shared" si="442"/>
        <v>9.2385282252035791E-3</v>
      </c>
      <c r="L216" s="38">
        <f t="shared" si="442"/>
        <v>1.5134088407851038E-2</v>
      </c>
    </row>
    <row r="217" spans="1:12">
      <c r="A217" s="9" t="s">
        <v>762</v>
      </c>
      <c r="B217" s="7">
        <v>28.56</v>
      </c>
      <c r="C217" s="7">
        <v>117.44</v>
      </c>
      <c r="D217" s="41">
        <v>5623.25</v>
      </c>
      <c r="F217" s="38">
        <f t="shared" ref="F217:H217" si="443">(B217-B218)/B218</f>
        <v>-1.2106537530266392E-2</v>
      </c>
      <c r="G217" s="38">
        <f t="shared" si="443"/>
        <v>4.6193327630452696E-3</v>
      </c>
      <c r="H217" s="38">
        <f t="shared" si="443"/>
        <v>6.4882763558260243E-3</v>
      </c>
      <c r="J217" s="38">
        <f t="shared" ref="J217:L217" si="444">LN(B217/B218)</f>
        <v>-1.2180418556871072E-2</v>
      </c>
      <c r="K217" s="38">
        <f t="shared" si="444"/>
        <v>4.6086963881826542E-3</v>
      </c>
      <c r="L217" s="38">
        <f t="shared" si="444"/>
        <v>6.4673180972594571E-3</v>
      </c>
    </row>
    <row r="218" spans="1:12">
      <c r="A218" s="9" t="s">
        <v>763</v>
      </c>
      <c r="B218" s="7">
        <v>28.91</v>
      </c>
      <c r="C218" s="7">
        <v>116.9</v>
      </c>
      <c r="D218" s="41">
        <v>5587</v>
      </c>
      <c r="F218" s="38">
        <f t="shared" ref="F218:H218" si="445">(B218-B219)/B219</f>
        <v>9.0750436300175066E-3</v>
      </c>
      <c r="G218" s="38">
        <f t="shared" si="445"/>
        <v>4.2955326460481094E-3</v>
      </c>
      <c r="H218" s="38">
        <f t="shared" si="445"/>
        <v>5.8204611596149541E-4</v>
      </c>
      <c r="J218" s="38">
        <f t="shared" ref="J218:L218" si="446">LN(B218/B219)</f>
        <v>9.0341128675062114E-3</v>
      </c>
      <c r="K218" s="38">
        <f t="shared" si="446"/>
        <v>4.2863331806852652E-3</v>
      </c>
      <c r="L218" s="38">
        <f t="shared" si="446"/>
        <v>5.8187679282042199E-4</v>
      </c>
    </row>
    <row r="219" spans="1:12">
      <c r="A219" s="9" t="s">
        <v>764</v>
      </c>
      <c r="B219" s="7">
        <v>28.65</v>
      </c>
      <c r="C219" s="7">
        <v>116.4</v>
      </c>
      <c r="D219" s="41">
        <v>5583.75</v>
      </c>
      <c r="F219" s="38">
        <f t="shared" ref="F219:H219" si="447">(B219-B220)/B220</f>
        <v>-6.5880721220527494E-3</v>
      </c>
      <c r="G219" s="38">
        <f t="shared" si="447"/>
        <v>-1.5894487656408482E-2</v>
      </c>
      <c r="H219" s="38">
        <f t="shared" si="447"/>
        <v>5.5375472717450027E-3</v>
      </c>
      <c r="J219" s="38">
        <f t="shared" ref="J219:L219" si="448">LN(B219/B220)</f>
        <v>-6.6098692559997526E-3</v>
      </c>
      <c r="K219" s="38">
        <f t="shared" si="448"/>
        <v>-1.6022159686938937E-2</v>
      </c>
      <c r="L219" s="38">
        <f t="shared" si="448"/>
        <v>5.5222714247211684E-3</v>
      </c>
    </row>
    <row r="220" spans="1:12">
      <c r="A220" s="9" t="s">
        <v>765</v>
      </c>
      <c r="B220" s="7">
        <v>28.84</v>
      </c>
      <c r="C220" s="7">
        <v>118.28</v>
      </c>
      <c r="D220" s="41">
        <v>5553</v>
      </c>
      <c r="F220" s="38">
        <f t="shared" ref="F220:H220" si="449">(B220-B221)/B221</f>
        <v>5.9295430763864022E-3</v>
      </c>
      <c r="G220" s="38">
        <f t="shared" si="449"/>
        <v>8.2686897962662934E-3</v>
      </c>
      <c r="H220" s="38">
        <f t="shared" si="449"/>
        <v>5.8561196450290559E-4</v>
      </c>
      <c r="J220" s="38">
        <f t="shared" ref="J220:L220" si="450">LN(B220/B221)</f>
        <v>5.9120325214697721E-3</v>
      </c>
      <c r="K220" s="38">
        <f t="shared" si="450"/>
        <v>8.2346914666474678E-3</v>
      </c>
      <c r="L220" s="38">
        <f t="shared" si="450"/>
        <v>5.8544056073055867E-4</v>
      </c>
    </row>
    <row r="221" spans="1:12">
      <c r="A221" s="9" t="s">
        <v>767</v>
      </c>
      <c r="B221" s="7">
        <v>28.67</v>
      </c>
      <c r="C221" s="7">
        <v>117.31</v>
      </c>
      <c r="D221" s="41">
        <v>5549.75</v>
      </c>
      <c r="F221" s="38">
        <f t="shared" ref="F221:H221" si="451">(B221-B222)/B222</f>
        <v>1.8834399431414395E-2</v>
      </c>
      <c r="G221" s="38">
        <f t="shared" si="451"/>
        <v>2.7352765193606925E-3</v>
      </c>
      <c r="H221" s="38">
        <f t="shared" si="451"/>
        <v>6.9857110455885689E-3</v>
      </c>
      <c r="J221" s="38">
        <f t="shared" ref="J221:L221" si="452">LN(B221/B222)</f>
        <v>1.8659228209035518E-2</v>
      </c>
      <c r="K221" s="38">
        <f t="shared" si="452"/>
        <v>2.7315424581188723E-3</v>
      </c>
      <c r="L221" s="38">
        <f t="shared" si="452"/>
        <v>6.9614240087293375E-3</v>
      </c>
    </row>
    <row r="222" spans="1:12">
      <c r="A222" s="9" t="s">
        <v>770</v>
      </c>
      <c r="B222" s="7">
        <v>28.14</v>
      </c>
      <c r="C222" s="7">
        <v>116.99</v>
      </c>
      <c r="D222" s="41">
        <v>5511.25</v>
      </c>
      <c r="F222" s="38">
        <f t="shared" ref="F222:H222" si="453">(B222-B223)/B223</f>
        <v>7.879656160458411E-3</v>
      </c>
      <c r="G222" s="38">
        <f t="shared" si="453"/>
        <v>2.6678367705133762E-2</v>
      </c>
      <c r="H222" s="38">
        <f t="shared" si="453"/>
        <v>2.0271208404683667E-2</v>
      </c>
      <c r="J222" s="38">
        <f t="shared" ref="J222:L222" si="454">LN(B222/B223)</f>
        <v>7.8487737920712036E-3</v>
      </c>
      <c r="K222" s="38">
        <f t="shared" si="454"/>
        <v>2.6328705367816705E-2</v>
      </c>
      <c r="L222" s="38">
        <f t="shared" si="454"/>
        <v>2.0068482546367866E-2</v>
      </c>
    </row>
    <row r="223" spans="1:12">
      <c r="A223" s="9" t="s">
        <v>773</v>
      </c>
      <c r="B223" s="7">
        <v>27.92</v>
      </c>
      <c r="C223" s="7">
        <v>113.95</v>
      </c>
      <c r="D223" s="41">
        <v>5401.75</v>
      </c>
      <c r="F223" s="38">
        <f t="shared" ref="F223:H223" si="455">(B223-B224)/B224</f>
        <v>-0.999398055321993</v>
      </c>
      <c r="G223" s="38">
        <f t="shared" si="455"/>
        <v>5.1975627769571729E-2</v>
      </c>
      <c r="H223" s="38">
        <f t="shared" si="455"/>
        <v>1.6369537607601486E-2</v>
      </c>
      <c r="J223" s="38">
        <f t="shared" ref="J223:L223" si="456">LN(B223/B224)</f>
        <v>-7.4153450138765322</v>
      </c>
      <c r="K223" s="38">
        <f t="shared" si="456"/>
        <v>5.0669946527728521E-2</v>
      </c>
      <c r="L223" s="38">
        <f t="shared" si="456"/>
        <v>1.6237001144607976E-2</v>
      </c>
    </row>
    <row r="224" spans="1:12">
      <c r="A224" s="9" t="s">
        <v>776</v>
      </c>
      <c r="B224" s="7">
        <v>46383</v>
      </c>
      <c r="C224" s="7">
        <v>108.32</v>
      </c>
      <c r="D224" s="41">
        <v>5314.75</v>
      </c>
      <c r="F224" s="38">
        <f t="shared" ref="F224:H224" si="457">(B224-B225)/B225</f>
        <v>7.253143390735955E-3</v>
      </c>
      <c r="G224" s="38">
        <f t="shared" si="457"/>
        <v>1.1769101438445647E-2</v>
      </c>
      <c r="H224" s="38">
        <f t="shared" si="457"/>
        <v>2.5073532957230339E-2</v>
      </c>
      <c r="J224" s="38">
        <f t="shared" ref="J224:L224" si="458">LN(B224/B225)</f>
        <v>7.2269658496383078E-3</v>
      </c>
      <c r="K224" s="38">
        <f t="shared" si="458"/>
        <v>1.1700384198729468E-2</v>
      </c>
      <c r="L224" s="38">
        <f t="shared" si="458"/>
        <v>2.4764349487687288E-2</v>
      </c>
    </row>
    <row r="225" spans="1:12">
      <c r="A225" s="9" t="s">
        <v>779</v>
      </c>
      <c r="B225" s="7">
        <v>46049</v>
      </c>
      <c r="C225" s="7">
        <v>107.06</v>
      </c>
      <c r="D225" s="41">
        <v>5184.75</v>
      </c>
      <c r="F225" s="38">
        <f t="shared" ref="F225:H225" si="459">(B225-B226)/B226</f>
        <v>-6.5369347600966517E-3</v>
      </c>
      <c r="G225" s="38">
        <f t="shared" si="459"/>
        <v>1.9813297771003983E-2</v>
      </c>
      <c r="H225" s="38">
        <f t="shared" si="459"/>
        <v>-2.409298385958308E-2</v>
      </c>
      <c r="J225" s="38">
        <f t="shared" ref="J225:L225" si="460">LN(B225/B226)</f>
        <v>-6.5583940880657096E-3</v>
      </c>
      <c r="K225" s="38">
        <f t="shared" si="460"/>
        <v>1.9619569141081445E-2</v>
      </c>
      <c r="L225" s="38">
        <f t="shared" si="460"/>
        <v>-2.4387967455485854E-2</v>
      </c>
    </row>
    <row r="226" spans="1:12">
      <c r="A226" s="9" t="s">
        <v>780</v>
      </c>
      <c r="B226" s="7">
        <v>46352</v>
      </c>
      <c r="C226" s="7">
        <v>104.98</v>
      </c>
      <c r="D226" s="41">
        <v>5312.75</v>
      </c>
      <c r="F226" s="38">
        <f t="shared" ref="F226:H226" si="461">(B226-B227)/B227</f>
        <v>1738.9399399399399</v>
      </c>
      <c r="G226" s="38">
        <f t="shared" si="461"/>
        <v>-4.9180327868852396E-2</v>
      </c>
      <c r="H226" s="38">
        <f t="shared" si="461"/>
        <v>1.3193233755830938E-3</v>
      </c>
      <c r="J226" s="38">
        <f t="shared" ref="J226:L226" si="462">LN(B226/B227)</f>
        <v>7.4616058743369429</v>
      </c>
      <c r="K226" s="38">
        <f t="shared" si="462"/>
        <v>-5.0430853626891856E-2</v>
      </c>
      <c r="L226" s="38">
        <f t="shared" si="462"/>
        <v>1.3184538332193861E-3</v>
      </c>
    </row>
    <row r="227" spans="1:12">
      <c r="A227" s="9" t="s">
        <v>783</v>
      </c>
      <c r="B227" s="7">
        <v>26.64</v>
      </c>
      <c r="C227" s="7">
        <v>110.41</v>
      </c>
      <c r="D227" s="41">
        <v>5305.75</v>
      </c>
      <c r="F227" s="38">
        <f t="shared" ref="F227:H227" si="463">(B227-B228)/B228</f>
        <v>-0.99942261427425827</v>
      </c>
      <c r="G227" s="38">
        <f t="shared" si="463"/>
        <v>-1.4900071377587453E-2</v>
      </c>
      <c r="H227" s="38">
        <f t="shared" si="463"/>
        <v>-2.2567125685073457E-2</v>
      </c>
      <c r="J227" s="38">
        <f t="shared" ref="J227:L227" si="464">LN(B227/B228)</f>
        <v>-7.4570000126520721</v>
      </c>
      <c r="K227" s="38">
        <f t="shared" si="464"/>
        <v>-1.5012192577705918E-2</v>
      </c>
      <c r="L227" s="38">
        <f t="shared" si="464"/>
        <v>-2.2825660258130771E-2</v>
      </c>
    </row>
    <row r="228" spans="1:12">
      <c r="A228" s="9" t="s">
        <v>787</v>
      </c>
      <c r="B228" s="7">
        <v>46139</v>
      </c>
      <c r="C228" s="7">
        <v>112.08</v>
      </c>
      <c r="D228" s="41">
        <v>5428.25</v>
      </c>
      <c r="F228" s="38">
        <f t="shared" ref="F228:H228" si="465">(B228-B229)/B229</f>
        <v>1694.6633590591694</v>
      </c>
      <c r="G228" s="38">
        <f t="shared" si="465"/>
        <v>5.7957334340192568E-2</v>
      </c>
      <c r="H228" s="38">
        <f t="shared" si="465"/>
        <v>-2.2974773698479071E-3</v>
      </c>
      <c r="J228" s="38">
        <f t="shared" ref="J228:L228" si="466">LN(B228/B229)</f>
        <v>7.435829305529106</v>
      </c>
      <c r="K228" s="38">
        <f t="shared" si="466"/>
        <v>5.6340005912371052E-2</v>
      </c>
      <c r="L228" s="38">
        <f t="shared" si="466"/>
        <v>-2.3001206202951418E-3</v>
      </c>
    </row>
    <row r="229" spans="1:12">
      <c r="A229" s="9" t="s">
        <v>790</v>
      </c>
      <c r="B229" s="7">
        <v>27.21</v>
      </c>
      <c r="C229" s="7">
        <v>105.94</v>
      </c>
      <c r="D229" s="41">
        <v>5440.75</v>
      </c>
      <c r="F229" s="38">
        <f t="shared" ref="F229:H229" si="467">(B229-B230)/B230</f>
        <v>2.6792452830188711E-2</v>
      </c>
      <c r="G229" s="38">
        <f t="shared" si="467"/>
        <v>3.4065397755002391E-2</v>
      </c>
      <c r="H229" s="38">
        <f t="shared" si="467"/>
        <v>9.1815441687920236E-3</v>
      </c>
      <c r="J229" s="38">
        <f t="shared" ref="J229:L229" si="468">LN(B229/B230)</f>
        <v>2.6439819802978329E-2</v>
      </c>
      <c r="K229" s="38">
        <f t="shared" si="468"/>
        <v>3.3498021431471701E-2</v>
      </c>
      <c r="L229" s="38">
        <f t="shared" si="468"/>
        <v>9.1396500321237143E-3</v>
      </c>
    </row>
    <row r="230" spans="1:12">
      <c r="A230" s="9" t="s">
        <v>794</v>
      </c>
      <c r="B230" s="7">
        <v>26.5</v>
      </c>
      <c r="C230" s="7">
        <v>102.45</v>
      </c>
      <c r="D230" s="41">
        <v>5391.25</v>
      </c>
      <c r="F230" s="38">
        <f t="shared" ref="F230:H230" si="469">(B230-B231)/B231</f>
        <v>-6.5255731922398641E-2</v>
      </c>
      <c r="G230" s="38">
        <f t="shared" si="469"/>
        <v>-5.725931677018666E-3</v>
      </c>
      <c r="H230" s="38">
        <f t="shared" si="469"/>
        <v>1.6833270463975859E-2</v>
      </c>
      <c r="J230" s="38">
        <f t="shared" ref="J230:L230" si="470">LN(B230/B231)</f>
        <v>-6.7482297181584605E-2</v>
      </c>
      <c r="K230" s="38">
        <f t="shared" si="470"/>
        <v>-5.7423876711347145E-3</v>
      </c>
      <c r="L230" s="38">
        <f t="shared" si="470"/>
        <v>1.6693161113081945E-2</v>
      </c>
    </row>
    <row r="231" spans="1:12">
      <c r="A231" s="9" t="s">
        <v>797</v>
      </c>
      <c r="B231" s="7">
        <v>28.35</v>
      </c>
      <c r="C231" s="7">
        <v>103.04</v>
      </c>
      <c r="D231" s="41">
        <v>5302</v>
      </c>
      <c r="F231" s="38">
        <f t="shared" ref="F231:H231" si="471">(B231-B232)/B232</f>
        <v>0.12634088200238378</v>
      </c>
      <c r="G231" s="38">
        <f t="shared" si="471"/>
        <v>5.4441260744985752E-2</v>
      </c>
      <c r="H231" s="38">
        <f t="shared" si="471"/>
        <v>-3.4419959934438173E-2</v>
      </c>
      <c r="J231" s="38">
        <f t="shared" ref="J231:L231" si="472">LN(B231/B232)</f>
        <v>0.11897422102653649</v>
      </c>
      <c r="K231" s="38">
        <f t="shared" si="472"/>
        <v>5.3011015966503872E-2</v>
      </c>
      <c r="L231" s="38">
        <f t="shared" si="472"/>
        <v>-3.5026280429901739E-2</v>
      </c>
    </row>
    <row r="232" spans="1:12">
      <c r="A232" s="9" t="s">
        <v>800</v>
      </c>
      <c r="B232" s="7">
        <v>25.17</v>
      </c>
      <c r="C232" s="7">
        <v>97.72</v>
      </c>
      <c r="D232" s="41">
        <v>5491</v>
      </c>
      <c r="F232" s="38">
        <f t="shared" ref="F232:H232" si="473">(B232-B233)/B233</f>
        <v>-4.7673098751418765E-2</v>
      </c>
      <c r="G232" s="38">
        <f t="shared" si="473"/>
        <v>-6.23680675494147E-2</v>
      </c>
      <c r="H232" s="38">
        <f t="shared" si="473"/>
        <v>9.3770230566206869E-2</v>
      </c>
      <c r="J232" s="38">
        <f t="shared" ref="J232:L232" si="474">LN(B232/B233)</f>
        <v>-4.8846919468973272E-2</v>
      </c>
      <c r="K232" s="38">
        <f t="shared" si="474"/>
        <v>-6.4397803091528857E-2</v>
      </c>
      <c r="L232" s="38">
        <f t="shared" si="474"/>
        <v>8.9630655036303561E-2</v>
      </c>
    </row>
    <row r="233" spans="1:12">
      <c r="A233" s="9" t="s">
        <v>804</v>
      </c>
      <c r="B233" s="7">
        <v>26.43</v>
      </c>
      <c r="C233" s="7">
        <v>104.22</v>
      </c>
      <c r="D233" s="41">
        <v>5020.25</v>
      </c>
      <c r="F233" s="38">
        <f t="shared" ref="F233:H233" si="475">(B233-B234)/B234</f>
        <v>-7.2956857243072673E-2</v>
      </c>
      <c r="G233" s="38">
        <f t="shared" si="475"/>
        <v>-9.0575916230366454E-2</v>
      </c>
      <c r="H233" s="38">
        <f t="shared" si="475"/>
        <v>-1.5106184707440287E-2</v>
      </c>
      <c r="J233" s="38">
        <f t="shared" ref="J233:L233" si="476">LN(B233/B234)</f>
        <v>-7.5755174308382855E-2</v>
      </c>
      <c r="K233" s="38">
        <f t="shared" si="476"/>
        <v>-9.4943754799570554E-2</v>
      </c>
      <c r="L233" s="38">
        <f t="shared" si="476"/>
        <v>-1.5221445354514591E-2</v>
      </c>
    </row>
    <row r="234" spans="1:12">
      <c r="A234" s="9" t="s">
        <v>808</v>
      </c>
      <c r="B234" s="7">
        <v>28.51</v>
      </c>
      <c r="C234" s="7">
        <v>114.6</v>
      </c>
      <c r="D234" s="41">
        <v>5097.25</v>
      </c>
      <c r="F234" s="38">
        <f t="shared" ref="F234:H234" si="477">(B234-B235)/B235</f>
        <v>-6.9662138627655619E-3</v>
      </c>
      <c r="G234" s="38">
        <f t="shared" si="477"/>
        <v>-9.8914923730146348E-2</v>
      </c>
      <c r="H234" s="38">
        <f t="shared" si="477"/>
        <v>-2.5439068538721196E-3</v>
      </c>
      <c r="J234" s="38">
        <f t="shared" ref="J234:L234" si="478">LN(B234/B235)</f>
        <v>-6.9905912083918983E-3</v>
      </c>
      <c r="K234" s="38">
        <f t="shared" si="478"/>
        <v>-0.10415560155862262</v>
      </c>
      <c r="L234" s="38">
        <f t="shared" si="478"/>
        <v>-2.5471480830028801E-3</v>
      </c>
    </row>
    <row r="235" spans="1:12">
      <c r="A235" s="9" t="s">
        <v>810</v>
      </c>
      <c r="B235" s="7">
        <v>28.71</v>
      </c>
      <c r="C235" s="7">
        <v>127.18</v>
      </c>
      <c r="D235" s="41">
        <v>5110.25</v>
      </c>
      <c r="F235" s="38">
        <f t="shared" ref="F235:H235" si="479">(B235-B236)/B236</f>
        <v>-9.1743119266055009E-2</v>
      </c>
      <c r="G235" s="38">
        <f t="shared" si="479"/>
        <v>-3.5258168142285407E-3</v>
      </c>
      <c r="H235" s="38">
        <f t="shared" si="479"/>
        <v>-5.9362201463347294E-2</v>
      </c>
      <c r="J235" s="38">
        <f t="shared" ref="J235:L235" si="480">LN(B235/B236)</f>
        <v>-9.6228032094553773E-2</v>
      </c>
      <c r="K235" s="38">
        <f t="shared" si="480"/>
        <v>-3.532047155337616E-3</v>
      </c>
      <c r="L235" s="38">
        <f t="shared" si="480"/>
        <v>-6.119712471975905E-2</v>
      </c>
    </row>
    <row r="236" spans="1:12">
      <c r="A236" s="9" t="s">
        <v>812</v>
      </c>
      <c r="B236" s="7">
        <v>31.61</v>
      </c>
      <c r="C236" s="7">
        <v>127.63</v>
      </c>
      <c r="D236" s="41">
        <v>5432.75</v>
      </c>
      <c r="F236" s="38">
        <f t="shared" ref="F236:H236" si="481">(B236-B237)/B237</f>
        <v>3.2331809274983615E-2</v>
      </c>
      <c r="G236" s="38">
        <f t="shared" si="481"/>
        <v>-2.1917388305617392E-2</v>
      </c>
      <c r="H236" s="38">
        <f t="shared" si="481"/>
        <v>-4.892993128802136E-2</v>
      </c>
      <c r="J236" s="38">
        <f t="shared" ref="J236:L236" si="482">LN(B236/B237)</f>
        <v>3.1820135997988573E-2</v>
      </c>
      <c r="K236" s="38">
        <f t="shared" si="482"/>
        <v>-2.2161142479556216E-2</v>
      </c>
      <c r="L236" s="38">
        <f t="shared" si="482"/>
        <v>-5.016754016880802E-2</v>
      </c>
    </row>
    <row r="237" spans="1:12">
      <c r="A237" s="9" t="s">
        <v>813</v>
      </c>
      <c r="B237" s="7">
        <v>30.62</v>
      </c>
      <c r="C237" s="7">
        <v>130.49</v>
      </c>
      <c r="D237" s="41">
        <v>5712.25</v>
      </c>
      <c r="F237" s="38">
        <f t="shared" ref="F237:H237" si="483">(B237-B238)/B238</f>
        <v>-1.9556714471968295E-3</v>
      </c>
      <c r="G237" s="38">
        <f t="shared" si="483"/>
        <v>3.5376451588095665E-3</v>
      </c>
      <c r="H237" s="38">
        <f t="shared" si="483"/>
        <v>6.6525685082386111E-3</v>
      </c>
      <c r="J237" s="38">
        <f t="shared" ref="J237:L237" si="484">LN(B237/B238)</f>
        <v>-1.9575862695177539E-3</v>
      </c>
      <c r="K237" s="38">
        <f t="shared" si="484"/>
        <v>3.5314024109270852E-3</v>
      </c>
      <c r="L237" s="38">
        <f t="shared" si="484"/>
        <v>6.6305378274600715E-3</v>
      </c>
    </row>
    <row r="238" spans="1:12">
      <c r="A238" s="9" t="s">
        <v>814</v>
      </c>
      <c r="B238" s="7">
        <v>30.68</v>
      </c>
      <c r="C238" s="7">
        <v>130.03</v>
      </c>
      <c r="D238" s="41">
        <v>5674.5</v>
      </c>
      <c r="F238" s="38">
        <f t="shared" ref="F238:H238" si="485">(B238-B239)/B239</f>
        <v>3.753804531619883E-2</v>
      </c>
      <c r="G238" s="38">
        <f t="shared" si="485"/>
        <v>-1.5357444521230796E-3</v>
      </c>
      <c r="H238" s="38">
        <f t="shared" si="485"/>
        <v>3.7588997479326052E-3</v>
      </c>
      <c r="J238" s="38">
        <f t="shared" ref="J238:L238" si="486">LN(B238/B239)</f>
        <v>3.6850642634669604E-2</v>
      </c>
      <c r="K238" s="38">
        <f t="shared" si="486"/>
        <v>-1.5369249163833293E-3</v>
      </c>
      <c r="L238" s="38">
        <f t="shared" si="486"/>
        <v>3.7518527380901315E-3</v>
      </c>
    </row>
    <row r="239" spans="1:12">
      <c r="A239" s="9" t="s">
        <v>818</v>
      </c>
      <c r="B239" s="7">
        <v>29.57</v>
      </c>
      <c r="C239" s="7">
        <v>130.22999999999999</v>
      </c>
      <c r="D239" s="41">
        <v>5653.25</v>
      </c>
      <c r="F239" s="38">
        <f t="shared" ref="F239:H239" si="487">(B239-B240)/B240</f>
        <v>-4.0558079169370535E-2</v>
      </c>
      <c r="G239" s="38">
        <f t="shared" si="487"/>
        <v>-2.3616734143049975E-2</v>
      </c>
      <c r="H239" s="38">
        <f t="shared" si="487"/>
        <v>5.3796905566423619E-3</v>
      </c>
      <c r="J239" s="38">
        <f t="shared" ref="J239:L239" si="488">LN(B239/B240)</f>
        <v>-4.1403496027583787E-2</v>
      </c>
      <c r="K239" s="38">
        <f t="shared" si="488"/>
        <v>-2.3900079224548395E-2</v>
      </c>
      <c r="L239" s="38">
        <f t="shared" si="488"/>
        <v>5.3652717109016973E-3</v>
      </c>
    </row>
    <row r="240" spans="1:12">
      <c r="A240" s="9" t="s">
        <v>819</v>
      </c>
      <c r="B240" s="7">
        <v>30.82</v>
      </c>
      <c r="C240" s="7">
        <v>133.38</v>
      </c>
      <c r="D240" s="41">
        <v>5623</v>
      </c>
      <c r="F240" s="38">
        <f t="shared" ref="F240:H240" si="489">(B240-B241)/B241</f>
        <v>2.8704939919893171E-2</v>
      </c>
      <c r="G240" s="38">
        <f t="shared" si="489"/>
        <v>2.5684404798523561E-2</v>
      </c>
      <c r="H240" s="38">
        <f t="shared" si="489"/>
        <v>-2.0255259833601953E-2</v>
      </c>
      <c r="J240" s="38">
        <f t="shared" ref="J240:L240" si="490">LN(B240/B241)</f>
        <v>2.8300671242950867E-2</v>
      </c>
      <c r="K240" s="38">
        <f t="shared" si="490"/>
        <v>2.5360101768455715E-2</v>
      </c>
      <c r="L240" s="38">
        <f t="shared" si="490"/>
        <v>-2.0463210463479011E-2</v>
      </c>
    </row>
    <row r="241" spans="1:12">
      <c r="A241" s="9" t="s">
        <v>822</v>
      </c>
      <c r="B241" s="7">
        <v>29.96</v>
      </c>
      <c r="C241" s="7">
        <v>130.04</v>
      </c>
      <c r="D241" s="41">
        <v>5739.25</v>
      </c>
      <c r="F241" s="38">
        <f t="shared" ref="F241:H241" si="491">(B241-B242)/B242</f>
        <v>1.5937605968124872E-2</v>
      </c>
      <c r="G241" s="38">
        <f t="shared" si="491"/>
        <v>-3.8302436034931826E-3</v>
      </c>
      <c r="H241" s="38">
        <f t="shared" si="491"/>
        <v>-3.5159302022745031E-3</v>
      </c>
      <c r="J241" s="38">
        <f t="shared" ref="J241:L241" si="492">LN(B241/B242)</f>
        <v>1.5811935821833944E-2</v>
      </c>
      <c r="K241" s="38">
        <f t="shared" si="492"/>
        <v>-3.8375977713667447E-3</v>
      </c>
      <c r="L241" s="38">
        <f t="shared" si="492"/>
        <v>-3.5221256108803815E-3</v>
      </c>
    </row>
    <row r="242" spans="1:12">
      <c r="A242" s="9" t="s">
        <v>824</v>
      </c>
      <c r="B242" s="7">
        <v>29.49</v>
      </c>
      <c r="C242" s="7">
        <v>130.54</v>
      </c>
      <c r="D242" s="41">
        <v>5759.5</v>
      </c>
      <c r="F242" s="38">
        <f t="shared" ref="F242:H242" si="493">(B242-B243)/B243</f>
        <v>-2.9615004935834226E-2</v>
      </c>
      <c r="G242" s="38">
        <f t="shared" si="493"/>
        <v>-1.2855414398064254E-2</v>
      </c>
      <c r="H242" s="38">
        <f t="shared" si="493"/>
        <v>-1.1499184759289453E-2</v>
      </c>
      <c r="J242" s="38">
        <f t="shared" ref="J242:L242" si="494">LN(B242/B243)</f>
        <v>-3.0062384101516917E-2</v>
      </c>
      <c r="K242" s="38">
        <f t="shared" si="494"/>
        <v>-1.293876030569751E-2</v>
      </c>
      <c r="L242" s="38">
        <f t="shared" si="494"/>
        <v>-1.1565811646756938E-2</v>
      </c>
    </row>
    <row r="243" spans="1:12">
      <c r="A243" s="9" t="s">
        <v>827</v>
      </c>
      <c r="B243" s="7">
        <v>30.39</v>
      </c>
      <c r="C243" s="7">
        <v>132.24</v>
      </c>
      <c r="D243" s="41">
        <v>5826.5</v>
      </c>
      <c r="F243" s="38">
        <f t="shared" ref="F243:H243" si="495">(B243-B244)/B244</f>
        <v>2.8426395939086288E-2</v>
      </c>
      <c r="G243" s="38">
        <f t="shared" si="495"/>
        <v>-4.8912634509743194E-3</v>
      </c>
      <c r="H243" s="38">
        <f t="shared" si="495"/>
        <v>1.8914968618347519E-3</v>
      </c>
      <c r="J243" s="38">
        <f t="shared" ref="J243:L243" si="496">LN(B243/B244)</f>
        <v>2.8029863076594452E-2</v>
      </c>
      <c r="K243" s="38">
        <f t="shared" si="496"/>
        <v>-4.9032648306474875E-3</v>
      </c>
      <c r="L243" s="38">
        <f t="shared" si="496"/>
        <v>1.889710234224405E-3</v>
      </c>
    </row>
    <row r="244" spans="1:12">
      <c r="A244" s="9" t="s">
        <v>829</v>
      </c>
      <c r="B244" s="7">
        <v>29.55</v>
      </c>
      <c r="C244" s="7">
        <v>132.88999999999999</v>
      </c>
      <c r="D244" s="41">
        <v>5815.5</v>
      </c>
      <c r="F244" s="38">
        <f t="shared" ref="F244:H244" si="497">(B244-B245)/B245</f>
        <v>-9.3865236339254979E-3</v>
      </c>
      <c r="G244" s="38">
        <f t="shared" si="497"/>
        <v>-1.2924311074797662E-2</v>
      </c>
      <c r="H244" s="38">
        <f t="shared" si="497"/>
        <v>3.5191712058101003E-2</v>
      </c>
      <c r="J244" s="38">
        <f t="shared" ref="J244:L244" si="498">LN(B244/B245)</f>
        <v>-9.4308546745498125E-3</v>
      </c>
      <c r="K244" s="38">
        <f t="shared" si="498"/>
        <v>-1.3008556647727121E-2</v>
      </c>
      <c r="L244" s="38">
        <f t="shared" si="498"/>
        <v>3.4586638606194937E-2</v>
      </c>
    </row>
    <row r="245" spans="1:12">
      <c r="A245" s="9" t="s">
        <v>832</v>
      </c>
      <c r="B245" s="7">
        <v>29.83</v>
      </c>
      <c r="C245" s="7">
        <v>134.63</v>
      </c>
      <c r="D245" s="41">
        <v>5617.8</v>
      </c>
      <c r="F245" s="38">
        <f t="shared" ref="F245:H245" si="499">(B245-B246)/B246</f>
        <v>-3.1807854592664733E-2</v>
      </c>
      <c r="G245" s="38">
        <f t="shared" si="499"/>
        <v>-4.3956824314728006E-2</v>
      </c>
      <c r="H245" s="38">
        <f t="shared" si="499"/>
        <v>-7.8940397350993063E-3</v>
      </c>
      <c r="J245" s="38">
        <f t="shared" ref="J245:L245" si="500">LN(B245/B246)</f>
        <v>-3.2324714081919462E-2</v>
      </c>
      <c r="K245" s="38">
        <f t="shared" si="500"/>
        <v>-4.4952204099843705E-2</v>
      </c>
      <c r="L245" s="38">
        <f t="shared" si="500"/>
        <v>-7.9253626183909617E-3</v>
      </c>
    </row>
    <row r="246" spans="1:12">
      <c r="A246" s="9" t="s">
        <v>834</v>
      </c>
      <c r="B246" s="7">
        <v>30.81</v>
      </c>
      <c r="C246" s="7">
        <v>140.82</v>
      </c>
      <c r="D246" s="41">
        <v>5662.5</v>
      </c>
      <c r="F246" s="38">
        <f t="shared" ref="F246:H246" si="501">(B246-B247)/B247</f>
        <v>9.1713069112347723E-3</v>
      </c>
      <c r="G246" s="38">
        <f t="shared" si="501"/>
        <v>3.2058132079503358E-3</v>
      </c>
      <c r="H246" s="38">
        <f t="shared" si="501"/>
        <v>-2.8176455049749053E-3</v>
      </c>
      <c r="J246" s="38">
        <f t="shared" ref="J246:L246" si="502">LN(B246/B247)</f>
        <v>9.1295058617899168E-3</v>
      </c>
      <c r="K246" s="38">
        <f t="shared" si="502"/>
        <v>3.2006855447525556E-3</v>
      </c>
      <c r="L246" s="38">
        <f t="shared" si="502"/>
        <v>-2.8216225404115039E-3</v>
      </c>
    </row>
    <row r="247" spans="1:12">
      <c r="A247" s="9" t="s">
        <v>835</v>
      </c>
      <c r="B247" s="7">
        <v>30.53</v>
      </c>
      <c r="C247" s="7">
        <v>140.37</v>
      </c>
      <c r="D247" s="41">
        <v>5678.5</v>
      </c>
      <c r="F247" s="38">
        <f t="shared" ref="F247:H247" si="503">(B247-B248)/B248</f>
        <v>-2.6466836734693824E-2</v>
      </c>
      <c r="G247" s="38">
        <f t="shared" si="503"/>
        <v>-3.2731532524807053E-2</v>
      </c>
      <c r="H247" s="38">
        <f t="shared" si="503"/>
        <v>1.0768956924172303E-2</v>
      </c>
      <c r="J247" s="38">
        <f t="shared" ref="J247:L247" si="504">LN(B247/B248)</f>
        <v>-2.68233887354206E-2</v>
      </c>
      <c r="K247" s="38">
        <f t="shared" si="504"/>
        <v>-3.3279192820591899E-2</v>
      </c>
      <c r="L247" s="38">
        <f t="shared" si="504"/>
        <v>1.0711384667511949E-2</v>
      </c>
    </row>
    <row r="248" spans="1:12">
      <c r="A248" s="9" t="s">
        <v>836</v>
      </c>
      <c r="B248" s="7">
        <v>31.36</v>
      </c>
      <c r="C248" s="7">
        <v>145.12</v>
      </c>
      <c r="D248" s="41">
        <v>5618</v>
      </c>
      <c r="F248" s="38">
        <f t="shared" ref="F248:H248" si="505">(B248-B249)/B249</f>
        <v>1.2771392081736637E-3</v>
      </c>
      <c r="G248" s="38">
        <f t="shared" si="505"/>
        <v>4.5909909909909945E-2</v>
      </c>
      <c r="H248" s="38">
        <f t="shared" si="505"/>
        <v>-1.0959024690814665E-2</v>
      </c>
      <c r="J248" s="38">
        <f t="shared" ref="J248:L248" si="506">LN(B248/B249)</f>
        <v>1.2763243596046834E-3</v>
      </c>
      <c r="K248" s="38">
        <f t="shared" si="506"/>
        <v>4.4887233740282514E-2</v>
      </c>
      <c r="L248" s="38">
        <f t="shared" si="506"/>
        <v>-1.1019517166923704E-2</v>
      </c>
    </row>
    <row r="249" spans="1:12">
      <c r="A249" s="9" t="s">
        <v>837</v>
      </c>
      <c r="B249" s="7">
        <v>31.32</v>
      </c>
      <c r="C249" s="7">
        <v>138.75</v>
      </c>
      <c r="D249" s="41">
        <v>5680.25</v>
      </c>
      <c r="F249" s="38">
        <f t="shared" ref="F249:H249" si="507">(B249-B250)/B250</f>
        <v>2.0195439739413713E-2</v>
      </c>
      <c r="G249" s="38">
        <f t="shared" si="507"/>
        <v>1.9845644983461877E-2</v>
      </c>
      <c r="H249" s="38">
        <f t="shared" si="507"/>
        <v>7.1365248226950354E-3</v>
      </c>
      <c r="J249" s="38">
        <f t="shared" ref="J249:L249" si="508">LN(B249/B250)</f>
        <v>1.9994216529450937E-2</v>
      </c>
      <c r="K249" s="38">
        <f t="shared" si="508"/>
        <v>1.9651287397288494E-2</v>
      </c>
      <c r="L249" s="38">
        <f t="shared" si="508"/>
        <v>7.1111803390081739E-3</v>
      </c>
    </row>
    <row r="250" spans="1:12">
      <c r="A250" s="9" t="s">
        <v>839</v>
      </c>
      <c r="B250" s="7">
        <v>30.7</v>
      </c>
      <c r="C250" s="7">
        <v>136.05000000000001</v>
      </c>
      <c r="D250" s="41">
        <v>5640</v>
      </c>
      <c r="F250" s="38">
        <f t="shared" ref="F250:H250" si="509">(B250-B251)/B251</f>
        <v>-7.756948933419586E-3</v>
      </c>
      <c r="G250" s="38">
        <f t="shared" si="509"/>
        <v>8.8239655939492626E-3</v>
      </c>
      <c r="H250" s="38">
        <f t="shared" si="509"/>
        <v>2.0352781546811399E-2</v>
      </c>
      <c r="J250" s="38">
        <f t="shared" ref="J250:L250" si="510">LN(B250/B251)</f>
        <v>-7.787190551768677E-3</v>
      </c>
      <c r="K250" s="38">
        <f t="shared" si="510"/>
        <v>8.7852619228194033E-3</v>
      </c>
      <c r="L250" s="38">
        <f t="shared" si="510"/>
        <v>2.0148431760503238E-2</v>
      </c>
    </row>
    <row r="251" spans="1:12">
      <c r="A251" s="9" t="s">
        <v>842</v>
      </c>
      <c r="B251" s="7">
        <v>30.94</v>
      </c>
      <c r="C251" s="7">
        <v>134.86000000000001</v>
      </c>
      <c r="D251" s="41">
        <v>5527.5</v>
      </c>
      <c r="F251" s="38">
        <f t="shared" ref="F251:H251" si="511">(B251-B252)/B252</f>
        <v>-1.2132822477650032E-2</v>
      </c>
      <c r="G251" s="38">
        <f t="shared" si="511"/>
        <v>-1.353229463828538E-2</v>
      </c>
      <c r="H251" s="38">
        <f t="shared" si="511"/>
        <v>-1.3782951960390741E-2</v>
      </c>
      <c r="J251" s="38">
        <f t="shared" ref="J251:L251" si="512">LN(B251/B252)</f>
        <v>-1.2207025977682244E-2</v>
      </c>
      <c r="K251" s="38">
        <f t="shared" si="512"/>
        <v>-1.3624690637464989E-2</v>
      </c>
      <c r="L251" s="38">
        <f t="shared" si="512"/>
        <v>-1.3878818746907783E-2</v>
      </c>
    </row>
    <row r="252" spans="1:12">
      <c r="A252" s="9" t="s">
        <v>845</v>
      </c>
      <c r="B252" s="7">
        <v>31.32</v>
      </c>
      <c r="C252" s="7">
        <v>136.71</v>
      </c>
      <c r="D252" s="41">
        <v>5604.75</v>
      </c>
      <c r="F252" s="38">
        <f t="shared" ref="F252:H252" si="513">(B252-B253)/B253</f>
        <v>-3.0040260142458933E-2</v>
      </c>
      <c r="G252" s="38">
        <f t="shared" si="513"/>
        <v>4.8872180451127852E-2</v>
      </c>
      <c r="H252" s="38">
        <f t="shared" si="513"/>
        <v>4.975793437331899E-3</v>
      </c>
      <c r="J252" s="38">
        <f t="shared" ref="J252:L252" si="514">LN(B252/B253)</f>
        <v>-3.0500713647581505E-2</v>
      </c>
      <c r="K252" s="38">
        <f t="shared" si="514"/>
        <v>4.7715473039666577E-2</v>
      </c>
      <c r="L252" s="38">
        <f t="shared" si="514"/>
        <v>4.9634550889553668E-3</v>
      </c>
    </row>
    <row r="253" spans="1:12">
      <c r="A253" s="9" t="s">
        <v>846</v>
      </c>
      <c r="B253" s="7">
        <v>32.29</v>
      </c>
      <c r="C253" s="7">
        <v>130.34</v>
      </c>
      <c r="D253" s="41">
        <v>5577</v>
      </c>
    </row>
    <row r="254" spans="1:12">
      <c r="B254" s="43"/>
      <c r="C254" s="50"/>
      <c r="D254" s="51"/>
    </row>
    <row r="255" spans="1:12">
      <c r="B255" s="43"/>
      <c r="C255" s="50"/>
      <c r="D255" s="51"/>
    </row>
    <row r="256" spans="1:12">
      <c r="B256" s="43"/>
      <c r="C256" s="50"/>
      <c r="D256" s="51"/>
    </row>
    <row r="257" spans="2:4">
      <c r="B257" s="43"/>
      <c r="C257" s="50"/>
      <c r="D257" s="51"/>
    </row>
    <row r="258" spans="2:4">
      <c r="B258" s="43"/>
      <c r="C258" s="50"/>
      <c r="D258" s="51"/>
    </row>
    <row r="259" spans="2:4">
      <c r="B259" s="43"/>
      <c r="C259" s="50"/>
      <c r="D259" s="51"/>
    </row>
    <row r="260" spans="2:4">
      <c r="B260" s="43"/>
      <c r="C260" s="50"/>
      <c r="D260" s="51"/>
    </row>
    <row r="261" spans="2:4">
      <c r="B261" s="43"/>
      <c r="C261" s="50"/>
      <c r="D261" s="52"/>
    </row>
    <row r="262" spans="2:4">
      <c r="B262" s="43"/>
      <c r="C262" s="50"/>
      <c r="D262" s="52"/>
    </row>
    <row r="263" spans="2:4">
      <c r="B263" s="43"/>
      <c r="C263" s="50"/>
      <c r="D263" s="52"/>
    </row>
    <row r="264" spans="2:4">
      <c r="B264" s="43"/>
      <c r="C264" s="50"/>
      <c r="D264" s="52"/>
    </row>
    <row r="265" spans="2:4">
      <c r="B265" s="43"/>
      <c r="C265" s="50"/>
      <c r="D265" s="52"/>
    </row>
    <row r="266" spans="2:4">
      <c r="B266" s="43"/>
      <c r="C266" s="50"/>
      <c r="D266" s="52"/>
    </row>
    <row r="267" spans="2:4">
      <c r="B267" s="43"/>
      <c r="C267" s="50"/>
      <c r="D267" s="52"/>
    </row>
    <row r="268" spans="2:4">
      <c r="B268" s="43"/>
      <c r="C268" s="50"/>
      <c r="D268" s="52"/>
    </row>
    <row r="269" spans="2:4">
      <c r="B269" s="43"/>
      <c r="C269" s="50"/>
      <c r="D269" s="52"/>
    </row>
    <row r="270" spans="2:4">
      <c r="B270" s="43"/>
      <c r="C270" s="50"/>
      <c r="D270" s="52"/>
    </row>
    <row r="271" spans="2:4">
      <c r="B271" s="43"/>
      <c r="C271" s="50"/>
      <c r="D271" s="52"/>
    </row>
    <row r="272" spans="2:4">
      <c r="B272" s="43"/>
      <c r="C272" s="50"/>
      <c r="D272" s="52"/>
    </row>
    <row r="273" spans="2:4">
      <c r="B273" s="43"/>
      <c r="C273" s="50"/>
      <c r="D273" s="52"/>
    </row>
    <row r="274" spans="2:4">
      <c r="B274" s="43"/>
      <c r="C274" s="50"/>
      <c r="D274" s="52"/>
    </row>
    <row r="275" spans="2:4">
      <c r="B275" s="43"/>
      <c r="C275" s="50"/>
      <c r="D275" s="52"/>
    </row>
    <row r="276" spans="2:4">
      <c r="B276" s="43"/>
      <c r="C276" s="50"/>
      <c r="D276" s="52"/>
    </row>
    <row r="277" spans="2:4">
      <c r="B277" s="43"/>
      <c r="C277" s="50"/>
      <c r="D277" s="52"/>
    </row>
    <row r="278" spans="2:4">
      <c r="B278" s="43"/>
      <c r="C278" s="50"/>
      <c r="D278" s="52"/>
    </row>
    <row r="279" spans="2:4">
      <c r="B279" s="43"/>
      <c r="C279" s="50"/>
      <c r="D279" s="52"/>
    </row>
    <row r="280" spans="2:4">
      <c r="B280" s="43"/>
      <c r="C280" s="50"/>
      <c r="D280" s="52"/>
    </row>
    <row r="281" spans="2:4">
      <c r="B281" s="43"/>
      <c r="C281" s="50"/>
      <c r="D281" s="52"/>
    </row>
    <row r="282" spans="2:4">
      <c r="B282" s="43"/>
      <c r="C282" s="50"/>
      <c r="D282" s="52"/>
    </row>
    <row r="283" spans="2:4">
      <c r="B283" s="43"/>
      <c r="C283" s="50"/>
      <c r="D283" s="52"/>
    </row>
    <row r="284" spans="2:4">
      <c r="B284" s="43"/>
      <c r="C284" s="50"/>
      <c r="D284" s="52"/>
    </row>
    <row r="285" spans="2:4">
      <c r="B285" s="43"/>
      <c r="C285" s="50"/>
      <c r="D285" s="52"/>
    </row>
    <row r="286" spans="2:4">
      <c r="B286" s="43"/>
      <c r="C286" s="50"/>
      <c r="D286" s="52"/>
    </row>
    <row r="287" spans="2:4">
      <c r="B287" s="43"/>
      <c r="C287" s="50"/>
      <c r="D287" s="52"/>
    </row>
    <row r="288" spans="2:4">
      <c r="B288" s="43"/>
      <c r="C288" s="50"/>
      <c r="D288" s="52"/>
    </row>
    <row r="289" spans="2:4">
      <c r="B289" s="43"/>
      <c r="C289" s="50"/>
      <c r="D289" s="52"/>
    </row>
    <row r="290" spans="2:4">
      <c r="B290" s="43"/>
      <c r="C290" s="50"/>
      <c r="D290" s="52"/>
    </row>
    <row r="291" spans="2:4">
      <c r="B291" s="43"/>
      <c r="C291" s="50"/>
      <c r="D291" s="52"/>
    </row>
    <row r="292" spans="2:4">
      <c r="B292" s="43"/>
      <c r="C292" s="50"/>
      <c r="D292" s="52"/>
    </row>
    <row r="293" spans="2:4">
      <c r="B293" s="43"/>
      <c r="C293" s="50"/>
      <c r="D293" s="52"/>
    </row>
    <row r="294" spans="2:4">
      <c r="B294" s="43"/>
      <c r="C294" s="50"/>
      <c r="D294" s="52"/>
    </row>
    <row r="295" spans="2:4">
      <c r="B295" s="43"/>
      <c r="C295" s="50"/>
      <c r="D295" s="52"/>
    </row>
    <row r="296" spans="2:4">
      <c r="B296" s="43"/>
      <c r="C296" s="50"/>
      <c r="D296" s="52"/>
    </row>
    <row r="297" spans="2:4">
      <c r="B297" s="43"/>
      <c r="C297" s="50"/>
      <c r="D297" s="52"/>
    </row>
    <row r="298" spans="2:4">
      <c r="B298" s="43"/>
      <c r="C298" s="50"/>
      <c r="D298" s="52"/>
    </row>
    <row r="299" spans="2:4">
      <c r="B299" s="43"/>
      <c r="C299" s="50"/>
      <c r="D299" s="52"/>
    </row>
    <row r="300" spans="2:4">
      <c r="B300" s="43"/>
      <c r="C300" s="50"/>
      <c r="D300" s="52"/>
    </row>
    <row r="301" spans="2:4">
      <c r="B301" s="43"/>
      <c r="C301" s="50"/>
      <c r="D301" s="52"/>
    </row>
    <row r="302" spans="2:4">
      <c r="B302" s="43"/>
      <c r="C302" s="50"/>
      <c r="D302" s="52"/>
    </row>
    <row r="303" spans="2:4">
      <c r="B303" s="43"/>
      <c r="C303" s="50"/>
      <c r="D303" s="52"/>
    </row>
    <row r="304" spans="2:4">
      <c r="B304" s="43"/>
      <c r="C304" s="50"/>
      <c r="D304" s="52"/>
    </row>
    <row r="305" spans="2:4">
      <c r="B305" s="43"/>
      <c r="C305" s="50"/>
      <c r="D305" s="52"/>
    </row>
    <row r="306" spans="2:4">
      <c r="B306" s="43"/>
      <c r="C306" s="50"/>
      <c r="D306" s="52"/>
    </row>
    <row r="307" spans="2:4">
      <c r="B307" s="43"/>
      <c r="C307" s="50"/>
      <c r="D307" s="52"/>
    </row>
    <row r="308" spans="2:4">
      <c r="B308" s="43"/>
      <c r="C308" s="50"/>
      <c r="D308" s="52"/>
    </row>
    <row r="309" spans="2:4">
      <c r="B309" s="43"/>
      <c r="C309" s="50"/>
      <c r="D309" s="52"/>
    </row>
    <row r="310" spans="2:4">
      <c r="B310" s="43"/>
      <c r="C310" s="50"/>
      <c r="D310" s="52"/>
    </row>
    <row r="311" spans="2:4">
      <c r="B311" s="43"/>
      <c r="C311" s="50"/>
      <c r="D311" s="52"/>
    </row>
    <row r="312" spans="2:4">
      <c r="B312" s="43"/>
      <c r="C312" s="50"/>
      <c r="D312" s="52"/>
    </row>
    <row r="313" spans="2:4">
      <c r="B313" s="43"/>
      <c r="C313" s="50"/>
      <c r="D313" s="52"/>
    </row>
    <row r="314" spans="2:4">
      <c r="B314" s="43"/>
      <c r="C314" s="50"/>
      <c r="D314" s="52"/>
    </row>
    <row r="315" spans="2:4">
      <c r="B315" s="43"/>
      <c r="C315" s="50"/>
      <c r="D315" s="52"/>
    </row>
    <row r="316" spans="2:4">
      <c r="B316" s="43"/>
      <c r="C316" s="50"/>
      <c r="D316" s="52"/>
    </row>
    <row r="317" spans="2:4">
      <c r="B317" s="43"/>
      <c r="C317" s="50"/>
      <c r="D317" s="52"/>
    </row>
    <row r="318" spans="2:4">
      <c r="B318" s="43"/>
      <c r="C318" s="50"/>
      <c r="D318" s="52"/>
    </row>
    <row r="319" spans="2:4">
      <c r="B319" s="43"/>
      <c r="C319" s="50"/>
      <c r="D319" s="52"/>
    </row>
    <row r="320" spans="2:4">
      <c r="B320" s="43"/>
      <c r="C320" s="50"/>
      <c r="D320" s="52"/>
    </row>
    <row r="321" spans="2:4">
      <c r="B321" s="43"/>
      <c r="C321" s="50"/>
      <c r="D321" s="52"/>
    </row>
    <row r="322" spans="2:4">
      <c r="B322" s="43"/>
      <c r="C322" s="50"/>
      <c r="D322" s="52"/>
    </row>
    <row r="323" spans="2:4">
      <c r="B323" s="43"/>
      <c r="C323" s="50"/>
      <c r="D323" s="52"/>
    </row>
    <row r="324" spans="2:4">
      <c r="B324" s="43"/>
      <c r="C324" s="50"/>
      <c r="D324" s="52"/>
    </row>
    <row r="325" spans="2:4">
      <c r="B325" s="43"/>
      <c r="C325" s="50"/>
      <c r="D325" s="52"/>
    </row>
    <row r="326" spans="2:4">
      <c r="B326" s="43"/>
      <c r="C326" s="50"/>
      <c r="D326" s="52"/>
    </row>
    <row r="327" spans="2:4">
      <c r="B327" s="43"/>
      <c r="C327" s="50"/>
      <c r="D327" s="52"/>
    </row>
    <row r="328" spans="2:4">
      <c r="B328" s="43"/>
      <c r="C328" s="50"/>
      <c r="D328" s="52"/>
    </row>
    <row r="329" spans="2:4">
      <c r="B329" s="43"/>
      <c r="C329" s="50"/>
      <c r="D329" s="52"/>
    </row>
    <row r="330" spans="2:4">
      <c r="B330" s="43"/>
      <c r="C330" s="50"/>
      <c r="D330" s="52"/>
    </row>
    <row r="331" spans="2:4">
      <c r="B331" s="43"/>
      <c r="C331" s="50"/>
      <c r="D331" s="52"/>
    </row>
    <row r="332" spans="2:4">
      <c r="B332" s="43"/>
      <c r="C332" s="50"/>
      <c r="D332" s="52"/>
    </row>
    <row r="333" spans="2:4">
      <c r="B333" s="43"/>
      <c r="C333" s="50"/>
      <c r="D333" s="52"/>
    </row>
    <row r="334" spans="2:4">
      <c r="B334" s="43"/>
      <c r="C334" s="50"/>
      <c r="D334" s="52"/>
    </row>
    <row r="335" spans="2:4">
      <c r="B335" s="43"/>
      <c r="C335" s="50"/>
      <c r="D335" s="52"/>
    </row>
    <row r="336" spans="2:4">
      <c r="B336" s="43"/>
      <c r="C336" s="50"/>
      <c r="D336" s="52"/>
    </row>
    <row r="337" spans="2:4">
      <c r="B337" s="43"/>
      <c r="C337" s="50"/>
      <c r="D337" s="52"/>
    </row>
    <row r="338" spans="2:4">
      <c r="B338" s="43"/>
      <c r="C338" s="50"/>
      <c r="D338" s="52"/>
    </row>
    <row r="339" spans="2:4">
      <c r="B339" s="43"/>
      <c r="C339" s="50"/>
      <c r="D339" s="52"/>
    </row>
    <row r="340" spans="2:4">
      <c r="B340" s="43"/>
      <c r="C340" s="50"/>
      <c r="D340" s="52"/>
    </row>
    <row r="341" spans="2:4">
      <c r="B341" s="43"/>
      <c r="C341" s="50"/>
      <c r="D341" s="52"/>
    </row>
    <row r="342" spans="2:4">
      <c r="B342" s="43"/>
      <c r="C342" s="50"/>
      <c r="D342" s="52"/>
    </row>
    <row r="343" spans="2:4">
      <c r="B343" s="43"/>
      <c r="C343" s="50"/>
      <c r="D343" s="52"/>
    </row>
    <row r="344" spans="2:4">
      <c r="B344" s="43"/>
      <c r="C344" s="50"/>
      <c r="D344" s="52"/>
    </row>
    <row r="345" spans="2:4">
      <c r="B345" s="43"/>
      <c r="C345" s="50"/>
      <c r="D345" s="52"/>
    </row>
    <row r="346" spans="2:4">
      <c r="B346" s="43"/>
      <c r="C346" s="50"/>
      <c r="D346" s="52"/>
    </row>
    <row r="347" spans="2:4">
      <c r="B347" s="43"/>
      <c r="C347" s="50"/>
      <c r="D347" s="52"/>
    </row>
    <row r="348" spans="2:4">
      <c r="B348" s="43"/>
      <c r="C348" s="50"/>
      <c r="D348" s="52"/>
    </row>
    <row r="349" spans="2:4">
      <c r="B349" s="43"/>
      <c r="C349" s="50"/>
      <c r="D349" s="52"/>
    </row>
    <row r="350" spans="2:4">
      <c r="B350" s="43"/>
      <c r="C350" s="50"/>
      <c r="D350" s="52"/>
    </row>
    <row r="351" spans="2:4">
      <c r="B351" s="43"/>
      <c r="C351" s="50"/>
      <c r="D351" s="52"/>
    </row>
    <row r="352" spans="2:4">
      <c r="B352" s="43"/>
      <c r="C352" s="50"/>
      <c r="D352" s="52"/>
    </row>
    <row r="353" spans="2:4">
      <c r="B353" s="43"/>
      <c r="C353" s="50"/>
      <c r="D353" s="52"/>
    </row>
    <row r="354" spans="2:4">
      <c r="B354" s="43"/>
      <c r="C354" s="50"/>
      <c r="D354" s="52"/>
    </row>
    <row r="355" spans="2:4">
      <c r="B355" s="43"/>
      <c r="C355" s="50"/>
      <c r="D355" s="52"/>
    </row>
    <row r="356" spans="2:4">
      <c r="B356" s="43"/>
      <c r="C356" s="50"/>
      <c r="D356" s="52"/>
    </row>
    <row r="357" spans="2:4">
      <c r="B357" s="43"/>
      <c r="C357" s="50"/>
      <c r="D357" s="52"/>
    </row>
    <row r="358" spans="2:4">
      <c r="B358" s="43"/>
      <c r="C358" s="50"/>
      <c r="D358" s="52"/>
    </row>
    <row r="359" spans="2:4">
      <c r="B359" s="43"/>
      <c r="C359" s="50"/>
      <c r="D359" s="52"/>
    </row>
    <row r="360" spans="2:4">
      <c r="B360" s="43"/>
      <c r="C360" s="50"/>
      <c r="D360" s="52"/>
    </row>
    <row r="361" spans="2:4">
      <c r="B361" s="43"/>
      <c r="C361" s="50"/>
      <c r="D361" s="52"/>
    </row>
    <row r="362" spans="2:4">
      <c r="B362" s="43"/>
      <c r="C362" s="50"/>
      <c r="D362" s="52"/>
    </row>
    <row r="363" spans="2:4">
      <c r="B363" s="43"/>
      <c r="C363" s="50"/>
      <c r="D363" s="52"/>
    </row>
    <row r="364" spans="2:4">
      <c r="B364" s="43"/>
      <c r="C364" s="50"/>
      <c r="D364" s="52"/>
    </row>
    <row r="365" spans="2:4">
      <c r="B365" s="43"/>
      <c r="C365" s="50"/>
      <c r="D365" s="52"/>
    </row>
    <row r="366" spans="2:4">
      <c r="B366" s="43"/>
      <c r="C366" s="50"/>
      <c r="D366" s="52"/>
    </row>
    <row r="367" spans="2:4">
      <c r="B367" s="43"/>
      <c r="C367" s="50"/>
      <c r="D367" s="52"/>
    </row>
    <row r="368" spans="2:4">
      <c r="B368" s="43"/>
      <c r="C368" s="50"/>
      <c r="D368" s="52"/>
    </row>
    <row r="369" spans="2:4">
      <c r="B369" s="43"/>
      <c r="C369" s="50"/>
      <c r="D369" s="52"/>
    </row>
    <row r="370" spans="2:4">
      <c r="B370" s="43"/>
      <c r="C370" s="50"/>
      <c r="D370" s="52"/>
    </row>
    <row r="371" spans="2:4">
      <c r="B371" s="43"/>
      <c r="C371" s="50"/>
      <c r="D371" s="52"/>
    </row>
    <row r="372" spans="2:4">
      <c r="B372" s="43"/>
      <c r="C372" s="50"/>
      <c r="D372" s="52"/>
    </row>
    <row r="373" spans="2:4">
      <c r="B373" s="43"/>
      <c r="C373" s="50"/>
      <c r="D373" s="52"/>
    </row>
    <row r="374" spans="2:4">
      <c r="B374" s="43"/>
      <c r="C374" s="50"/>
      <c r="D374" s="52"/>
    </row>
    <row r="375" spans="2:4">
      <c r="B375" s="43"/>
      <c r="C375" s="50"/>
      <c r="D375" s="52"/>
    </row>
    <row r="376" spans="2:4">
      <c r="B376" s="43"/>
      <c r="C376" s="50"/>
      <c r="D376" s="52"/>
    </row>
    <row r="377" spans="2:4">
      <c r="B377" s="43"/>
      <c r="C377" s="50"/>
      <c r="D377" s="52"/>
    </row>
    <row r="378" spans="2:4">
      <c r="B378" s="43"/>
      <c r="C378" s="50"/>
      <c r="D378" s="52"/>
    </row>
    <row r="379" spans="2:4">
      <c r="B379" s="43"/>
      <c r="C379" s="50"/>
      <c r="D379" s="52"/>
    </row>
    <row r="380" spans="2:4">
      <c r="B380" s="43"/>
      <c r="C380" s="50"/>
      <c r="D380" s="52"/>
    </row>
    <row r="381" spans="2:4">
      <c r="B381" s="43"/>
      <c r="C381" s="50"/>
      <c r="D381" s="52"/>
    </row>
    <row r="382" spans="2:4">
      <c r="B382" s="43"/>
      <c r="C382" s="50"/>
      <c r="D382" s="52"/>
    </row>
    <row r="383" spans="2:4">
      <c r="B383" s="43"/>
      <c r="C383" s="50"/>
      <c r="D383" s="52"/>
    </row>
    <row r="384" spans="2:4">
      <c r="B384" s="43"/>
      <c r="C384" s="50"/>
      <c r="D384" s="52"/>
    </row>
    <row r="385" spans="2:4">
      <c r="B385" s="43"/>
      <c r="C385" s="50"/>
      <c r="D385" s="52"/>
    </row>
    <row r="386" spans="2:4">
      <c r="B386" s="43"/>
      <c r="C386" s="50"/>
      <c r="D386" s="52"/>
    </row>
    <row r="387" spans="2:4">
      <c r="B387" s="43"/>
      <c r="C387" s="50"/>
      <c r="D387" s="52"/>
    </row>
    <row r="388" spans="2:4">
      <c r="B388" s="43"/>
      <c r="C388" s="50"/>
      <c r="D388" s="52"/>
    </row>
    <row r="389" spans="2:4">
      <c r="B389" s="43"/>
      <c r="C389" s="50"/>
      <c r="D389" s="52"/>
    </row>
    <row r="390" spans="2:4">
      <c r="B390" s="43"/>
      <c r="C390" s="50"/>
      <c r="D390" s="52"/>
    </row>
    <row r="391" spans="2:4">
      <c r="B391" s="43"/>
      <c r="C391" s="50"/>
      <c r="D391" s="52"/>
    </row>
    <row r="392" spans="2:4">
      <c r="B392" s="43"/>
      <c r="C392" s="50"/>
      <c r="D392" s="52"/>
    </row>
    <row r="393" spans="2:4">
      <c r="B393" s="43"/>
      <c r="C393" s="50"/>
      <c r="D393" s="52"/>
    </row>
    <row r="394" spans="2:4">
      <c r="B394" s="43"/>
      <c r="C394" s="50"/>
      <c r="D394" s="52"/>
    </row>
    <row r="395" spans="2:4">
      <c r="B395" s="43"/>
      <c r="C395" s="50"/>
      <c r="D395" s="52"/>
    </row>
    <row r="396" spans="2:4">
      <c r="B396" s="43"/>
      <c r="C396" s="50"/>
      <c r="D396" s="52"/>
    </row>
    <row r="397" spans="2:4">
      <c r="B397" s="43"/>
      <c r="C397" s="50"/>
      <c r="D397" s="52"/>
    </row>
    <row r="398" spans="2:4">
      <c r="B398" s="43"/>
      <c r="C398" s="50"/>
      <c r="D398" s="52"/>
    </row>
    <row r="399" spans="2:4">
      <c r="B399" s="43"/>
      <c r="C399" s="50"/>
      <c r="D399" s="52"/>
    </row>
    <row r="400" spans="2:4">
      <c r="B400" s="43"/>
      <c r="C400" s="50"/>
      <c r="D400" s="52"/>
    </row>
    <row r="401" spans="2:4">
      <c r="B401" s="43"/>
      <c r="C401" s="50"/>
      <c r="D401" s="52"/>
    </row>
    <row r="402" spans="2:4">
      <c r="B402" s="43"/>
      <c r="C402" s="50"/>
      <c r="D402" s="52"/>
    </row>
    <row r="403" spans="2:4">
      <c r="B403" s="43"/>
      <c r="C403" s="50"/>
      <c r="D403" s="52"/>
    </row>
    <row r="404" spans="2:4">
      <c r="B404" s="43"/>
      <c r="C404" s="50"/>
      <c r="D404" s="52"/>
    </row>
    <row r="405" spans="2:4">
      <c r="B405" s="43"/>
      <c r="C405" s="50"/>
      <c r="D405" s="52"/>
    </row>
    <row r="406" spans="2:4">
      <c r="B406" s="43"/>
      <c r="C406" s="50"/>
      <c r="D406" s="52"/>
    </row>
    <row r="407" spans="2:4">
      <c r="B407" s="43"/>
      <c r="C407" s="50"/>
      <c r="D407" s="52"/>
    </row>
    <row r="408" spans="2:4">
      <c r="B408" s="43"/>
      <c r="C408" s="50"/>
      <c r="D408" s="52"/>
    </row>
    <row r="409" spans="2:4">
      <c r="B409" s="43"/>
      <c r="C409" s="50"/>
      <c r="D409" s="52"/>
    </row>
    <row r="410" spans="2:4">
      <c r="B410" s="43"/>
      <c r="C410" s="50"/>
      <c r="D410" s="52"/>
    </row>
    <row r="411" spans="2:4">
      <c r="B411" s="43"/>
      <c r="C411" s="50"/>
      <c r="D411" s="52"/>
    </row>
    <row r="412" spans="2:4">
      <c r="B412" s="43"/>
      <c r="C412" s="50"/>
      <c r="D412" s="52"/>
    </row>
    <row r="413" spans="2:4">
      <c r="B413" s="43"/>
      <c r="C413" s="50"/>
      <c r="D413" s="52"/>
    </row>
    <row r="414" spans="2:4">
      <c r="B414" s="43"/>
      <c r="C414" s="50"/>
      <c r="D414" s="52"/>
    </row>
    <row r="415" spans="2:4">
      <c r="B415" s="43"/>
      <c r="C415" s="50"/>
      <c r="D415" s="52"/>
    </row>
    <row r="416" spans="2:4">
      <c r="B416" s="43"/>
      <c r="C416" s="50"/>
      <c r="D416" s="52"/>
    </row>
    <row r="417" spans="2:4">
      <c r="B417" s="43"/>
      <c r="C417" s="50"/>
      <c r="D417" s="52"/>
    </row>
    <row r="418" spans="2:4">
      <c r="B418" s="43"/>
      <c r="C418" s="50"/>
      <c r="D418" s="52"/>
    </row>
    <row r="419" spans="2:4">
      <c r="B419" s="43"/>
      <c r="C419" s="50"/>
      <c r="D419" s="52"/>
    </row>
    <row r="420" spans="2:4">
      <c r="B420" s="43"/>
      <c r="C420" s="50"/>
      <c r="D420" s="52"/>
    </row>
    <row r="421" spans="2:4">
      <c r="B421" s="43"/>
      <c r="C421" s="50"/>
      <c r="D421" s="52"/>
    </row>
    <row r="422" spans="2:4">
      <c r="B422" s="43"/>
      <c r="C422" s="50"/>
      <c r="D422" s="52"/>
    </row>
    <row r="423" spans="2:4">
      <c r="B423" s="43"/>
      <c r="C423" s="50"/>
      <c r="D423" s="52"/>
    </row>
    <row r="424" spans="2:4">
      <c r="B424" s="43"/>
      <c r="C424" s="50"/>
      <c r="D424" s="52"/>
    </row>
    <row r="425" spans="2:4">
      <c r="B425" s="43"/>
      <c r="C425" s="50"/>
      <c r="D425" s="52"/>
    </row>
    <row r="426" spans="2:4">
      <c r="B426" s="43"/>
      <c r="C426" s="50"/>
      <c r="D426" s="52"/>
    </row>
    <row r="427" spans="2:4">
      <c r="B427" s="43"/>
      <c r="C427" s="50"/>
      <c r="D427" s="52"/>
    </row>
    <row r="428" spans="2:4">
      <c r="B428" s="43"/>
      <c r="C428" s="50"/>
      <c r="D428" s="52"/>
    </row>
    <row r="429" spans="2:4">
      <c r="B429" s="43"/>
      <c r="C429" s="50"/>
      <c r="D429" s="52"/>
    </row>
    <row r="430" spans="2:4">
      <c r="B430" s="43"/>
      <c r="C430" s="50"/>
      <c r="D430" s="52"/>
    </row>
    <row r="431" spans="2:4">
      <c r="B431" s="43"/>
      <c r="C431" s="50"/>
      <c r="D431" s="52"/>
    </row>
    <row r="432" spans="2:4">
      <c r="B432" s="43"/>
      <c r="C432" s="50"/>
      <c r="D432" s="52"/>
    </row>
    <row r="433" spans="2:4">
      <c r="B433" s="43"/>
      <c r="C433" s="50"/>
      <c r="D433" s="52"/>
    </row>
    <row r="434" spans="2:4">
      <c r="B434" s="43"/>
      <c r="C434" s="50"/>
      <c r="D434" s="52"/>
    </row>
    <row r="435" spans="2:4">
      <c r="B435" s="43"/>
      <c r="C435" s="50"/>
      <c r="D435" s="52"/>
    </row>
    <row r="436" spans="2:4">
      <c r="B436" s="43"/>
      <c r="C436" s="50"/>
      <c r="D436" s="52"/>
    </row>
    <row r="437" spans="2:4">
      <c r="B437" s="43"/>
      <c r="C437" s="50"/>
      <c r="D437" s="52"/>
    </row>
    <row r="438" spans="2:4">
      <c r="B438" s="43"/>
      <c r="C438" s="50"/>
      <c r="D438" s="52"/>
    </row>
    <row r="439" spans="2:4">
      <c r="B439" s="43"/>
      <c r="C439" s="50"/>
      <c r="D439" s="52"/>
    </row>
    <row r="440" spans="2:4">
      <c r="B440" s="43"/>
      <c r="C440" s="50"/>
      <c r="D440" s="52"/>
    </row>
    <row r="441" spans="2:4">
      <c r="B441" s="43"/>
      <c r="C441" s="50"/>
      <c r="D441" s="52"/>
    </row>
    <row r="442" spans="2:4">
      <c r="B442" s="43"/>
      <c r="C442" s="50"/>
      <c r="D442" s="52"/>
    </row>
    <row r="443" spans="2:4">
      <c r="B443" s="43"/>
      <c r="C443" s="50"/>
      <c r="D443" s="52"/>
    </row>
    <row r="444" spans="2:4">
      <c r="B444" s="43"/>
      <c r="C444" s="50"/>
      <c r="D444" s="52"/>
    </row>
    <row r="445" spans="2:4">
      <c r="B445" s="43"/>
      <c r="C445" s="50"/>
      <c r="D445" s="52"/>
    </row>
    <row r="446" spans="2:4">
      <c r="B446" s="43"/>
      <c r="C446" s="50"/>
      <c r="D446" s="52"/>
    </row>
    <row r="447" spans="2:4">
      <c r="B447" s="43"/>
      <c r="C447" s="50"/>
      <c r="D447" s="52"/>
    </row>
    <row r="448" spans="2:4">
      <c r="B448" s="43"/>
      <c r="C448" s="50"/>
      <c r="D448" s="52"/>
    </row>
    <row r="449" spans="2:4">
      <c r="B449" s="43"/>
      <c r="C449" s="50"/>
      <c r="D449" s="52"/>
    </row>
    <row r="450" spans="2:4">
      <c r="B450" s="43"/>
      <c r="C450" s="50"/>
      <c r="D450" s="52"/>
    </row>
    <row r="451" spans="2:4">
      <c r="B451" s="43"/>
      <c r="C451" s="50"/>
      <c r="D451" s="52"/>
    </row>
    <row r="452" spans="2:4">
      <c r="B452" s="43"/>
      <c r="C452" s="50"/>
      <c r="D452" s="52"/>
    </row>
    <row r="453" spans="2:4">
      <c r="B453" s="43"/>
      <c r="C453" s="50"/>
      <c r="D453" s="52"/>
    </row>
    <row r="454" spans="2:4">
      <c r="B454" s="43"/>
      <c r="C454" s="50"/>
      <c r="D454" s="52"/>
    </row>
    <row r="455" spans="2:4">
      <c r="B455" s="43"/>
      <c r="C455" s="50"/>
      <c r="D455" s="52"/>
    </row>
    <row r="456" spans="2:4">
      <c r="B456" s="43"/>
      <c r="C456" s="50"/>
      <c r="D456" s="52"/>
    </row>
    <row r="457" spans="2:4">
      <c r="B457" s="43"/>
      <c r="C457" s="50"/>
      <c r="D457" s="52"/>
    </row>
    <row r="458" spans="2:4">
      <c r="B458" s="43"/>
      <c r="C458" s="50"/>
      <c r="D458" s="52"/>
    </row>
    <row r="459" spans="2:4">
      <c r="B459" s="43"/>
      <c r="C459" s="50"/>
      <c r="D459" s="52"/>
    </row>
    <row r="460" spans="2:4">
      <c r="B460" s="43"/>
      <c r="C460" s="50"/>
      <c r="D460" s="52"/>
    </row>
    <row r="461" spans="2:4">
      <c r="B461" s="43"/>
      <c r="C461" s="50"/>
      <c r="D461" s="52"/>
    </row>
    <row r="462" spans="2:4">
      <c r="B462" s="43"/>
      <c r="C462" s="50"/>
      <c r="D462" s="52"/>
    </row>
    <row r="463" spans="2:4">
      <c r="B463" s="43"/>
      <c r="C463" s="50"/>
      <c r="D463" s="52"/>
    </row>
    <row r="464" spans="2:4">
      <c r="B464" s="43"/>
      <c r="C464" s="50"/>
      <c r="D464" s="52"/>
    </row>
    <row r="465" spans="2:4">
      <c r="B465" s="43"/>
      <c r="C465" s="50"/>
      <c r="D465" s="52"/>
    </row>
    <row r="466" spans="2:4">
      <c r="B466" s="43"/>
      <c r="C466" s="50"/>
      <c r="D466" s="52"/>
    </row>
    <row r="467" spans="2:4">
      <c r="B467" s="43"/>
      <c r="C467" s="50"/>
      <c r="D467" s="52"/>
    </row>
    <row r="468" spans="2:4">
      <c r="B468" s="43"/>
      <c r="C468" s="50"/>
      <c r="D468" s="52"/>
    </row>
    <row r="469" spans="2:4">
      <c r="B469" s="43"/>
      <c r="C469" s="50"/>
      <c r="D469" s="52"/>
    </row>
    <row r="470" spans="2:4">
      <c r="B470" s="43"/>
      <c r="C470" s="50"/>
      <c r="D470" s="52"/>
    </row>
    <row r="471" spans="2:4">
      <c r="B471" s="43"/>
      <c r="C471" s="50"/>
      <c r="D471" s="52"/>
    </row>
    <row r="472" spans="2:4">
      <c r="B472" s="43"/>
      <c r="C472" s="50"/>
      <c r="D472" s="52"/>
    </row>
    <row r="473" spans="2:4">
      <c r="B473" s="43"/>
      <c r="C473" s="50"/>
      <c r="D473" s="52"/>
    </row>
    <row r="474" spans="2:4">
      <c r="B474" s="43"/>
      <c r="C474" s="50"/>
      <c r="D474" s="52"/>
    </row>
    <row r="475" spans="2:4">
      <c r="B475" s="43"/>
      <c r="C475" s="50"/>
      <c r="D475" s="52"/>
    </row>
    <row r="476" spans="2:4">
      <c r="B476" s="43"/>
      <c r="C476" s="50"/>
      <c r="D476" s="52"/>
    </row>
    <row r="477" spans="2:4">
      <c r="B477" s="43"/>
      <c r="C477" s="50"/>
      <c r="D477" s="52"/>
    </row>
    <row r="478" spans="2:4">
      <c r="B478" s="43"/>
      <c r="C478" s="50"/>
      <c r="D478" s="52"/>
    </row>
    <row r="479" spans="2:4">
      <c r="B479" s="43"/>
      <c r="C479" s="50"/>
      <c r="D479" s="52"/>
    </row>
    <row r="480" spans="2:4">
      <c r="B480" s="43"/>
      <c r="C480" s="50"/>
      <c r="D480" s="52"/>
    </row>
    <row r="481" spans="2:4">
      <c r="B481" s="43"/>
      <c r="C481" s="50"/>
      <c r="D481" s="52"/>
    </row>
    <row r="482" spans="2:4">
      <c r="B482" s="43"/>
      <c r="C482" s="50"/>
      <c r="D482" s="52"/>
    </row>
    <row r="483" spans="2:4">
      <c r="B483" s="43"/>
      <c r="C483" s="50"/>
      <c r="D483" s="52"/>
    </row>
    <row r="484" spans="2:4">
      <c r="B484" s="43"/>
      <c r="C484" s="50"/>
      <c r="D484" s="52"/>
    </row>
    <row r="485" spans="2:4">
      <c r="B485" s="43"/>
      <c r="C485" s="50"/>
      <c r="D485" s="52"/>
    </row>
    <row r="486" spans="2:4">
      <c r="B486" s="43"/>
      <c r="C486" s="50"/>
      <c r="D486" s="52"/>
    </row>
    <row r="487" spans="2:4">
      <c r="B487" s="43"/>
      <c r="C487" s="50"/>
      <c r="D487" s="52"/>
    </row>
    <row r="488" spans="2:4">
      <c r="B488" s="43"/>
      <c r="C488" s="50"/>
      <c r="D488" s="52"/>
    </row>
    <row r="489" spans="2:4">
      <c r="B489" s="43"/>
      <c r="C489" s="50"/>
      <c r="D489" s="52"/>
    </row>
    <row r="490" spans="2:4">
      <c r="B490" s="43"/>
      <c r="C490" s="50"/>
      <c r="D490" s="52"/>
    </row>
    <row r="491" spans="2:4">
      <c r="B491" s="43"/>
      <c r="C491" s="50"/>
      <c r="D491" s="52"/>
    </row>
    <row r="492" spans="2:4">
      <c r="B492" s="43"/>
      <c r="C492" s="50"/>
      <c r="D492" s="52"/>
    </row>
    <row r="493" spans="2:4">
      <c r="B493" s="43"/>
      <c r="C493" s="50"/>
      <c r="D493" s="52"/>
    </row>
    <row r="494" spans="2:4">
      <c r="B494" s="43"/>
      <c r="C494" s="50"/>
      <c r="D494" s="52"/>
    </row>
    <row r="495" spans="2:4">
      <c r="B495" s="43"/>
      <c r="C495" s="50"/>
      <c r="D495" s="52"/>
    </row>
    <row r="496" spans="2:4">
      <c r="B496" s="43"/>
      <c r="C496" s="50"/>
      <c r="D496" s="52"/>
    </row>
    <row r="497" spans="2:4">
      <c r="B497" s="43"/>
      <c r="C497" s="50"/>
      <c r="D497" s="52"/>
    </row>
    <row r="498" spans="2:4">
      <c r="B498" s="43"/>
      <c r="C498" s="50"/>
      <c r="D498" s="52"/>
    </row>
    <row r="499" spans="2:4">
      <c r="B499" s="43"/>
      <c r="C499" s="50"/>
      <c r="D499" s="52"/>
    </row>
    <row r="500" spans="2:4">
      <c r="B500" s="43"/>
      <c r="C500" s="50"/>
      <c r="D500" s="52"/>
    </row>
    <row r="501" spans="2:4">
      <c r="B501" s="43"/>
      <c r="C501" s="50"/>
      <c r="D501" s="52"/>
    </row>
    <row r="502" spans="2:4">
      <c r="B502" s="43"/>
      <c r="C502" s="50"/>
      <c r="D502" s="52"/>
    </row>
    <row r="503" spans="2:4">
      <c r="B503" s="43"/>
      <c r="C503" s="50"/>
      <c r="D503" s="52"/>
    </row>
    <row r="504" spans="2:4">
      <c r="B504" s="43"/>
      <c r="C504" s="50"/>
      <c r="D504" s="52"/>
    </row>
    <row r="505" spans="2:4">
      <c r="B505" s="43"/>
      <c r="C505" s="50"/>
      <c r="D505" s="52"/>
    </row>
    <row r="506" spans="2:4">
      <c r="B506" s="43"/>
      <c r="C506" s="50"/>
      <c r="D506" s="52"/>
    </row>
    <row r="507" spans="2:4">
      <c r="B507" s="43"/>
      <c r="C507" s="50"/>
      <c r="D507" s="52"/>
    </row>
    <row r="508" spans="2:4">
      <c r="B508" s="43"/>
      <c r="C508" s="50"/>
      <c r="D508" s="52"/>
    </row>
    <row r="509" spans="2:4">
      <c r="B509" s="43"/>
      <c r="C509" s="50"/>
      <c r="D509" s="52"/>
    </row>
    <row r="510" spans="2:4">
      <c r="B510" s="43"/>
      <c r="C510" s="50"/>
      <c r="D510" s="52"/>
    </row>
    <row r="511" spans="2:4">
      <c r="B511" s="43"/>
      <c r="C511" s="50"/>
      <c r="D511" s="52"/>
    </row>
    <row r="512" spans="2:4">
      <c r="B512" s="43"/>
      <c r="C512" s="50"/>
      <c r="D512" s="52"/>
    </row>
    <row r="513" spans="2:4">
      <c r="B513" s="43"/>
      <c r="C513" s="50"/>
      <c r="D513" s="52"/>
    </row>
    <row r="514" spans="2:4">
      <c r="B514" s="43"/>
      <c r="C514" s="50"/>
      <c r="D514" s="52"/>
    </row>
    <row r="515" spans="2:4">
      <c r="B515" s="43"/>
      <c r="C515" s="50"/>
      <c r="D515" s="52"/>
    </row>
    <row r="516" spans="2:4">
      <c r="B516" s="43"/>
      <c r="C516" s="50"/>
      <c r="D516" s="52"/>
    </row>
    <row r="517" spans="2:4">
      <c r="B517" s="43"/>
      <c r="C517" s="50"/>
      <c r="D517" s="52"/>
    </row>
    <row r="518" spans="2:4">
      <c r="B518" s="43"/>
      <c r="C518" s="50"/>
      <c r="D518" s="52"/>
    </row>
    <row r="519" spans="2:4">
      <c r="B519" s="43"/>
      <c r="C519" s="50"/>
      <c r="D519" s="52"/>
    </row>
    <row r="520" spans="2:4">
      <c r="B520" s="43"/>
      <c r="C520" s="50"/>
      <c r="D520" s="52"/>
    </row>
    <row r="521" spans="2:4">
      <c r="B521" s="43"/>
      <c r="C521" s="50"/>
      <c r="D521" s="52"/>
    </row>
    <row r="522" spans="2:4">
      <c r="B522" s="43"/>
      <c r="C522" s="50"/>
      <c r="D522" s="52"/>
    </row>
    <row r="523" spans="2:4">
      <c r="B523" s="43"/>
      <c r="C523" s="50"/>
      <c r="D523" s="52"/>
    </row>
    <row r="524" spans="2:4">
      <c r="B524" s="43"/>
      <c r="C524" s="50"/>
      <c r="D524" s="52"/>
    </row>
    <row r="525" spans="2:4">
      <c r="B525" s="43"/>
      <c r="C525" s="50"/>
      <c r="D525" s="52"/>
    </row>
    <row r="526" spans="2:4">
      <c r="B526" s="43"/>
      <c r="C526" s="50"/>
      <c r="D526" s="52"/>
    </row>
    <row r="527" spans="2:4">
      <c r="B527" s="43"/>
      <c r="C527" s="50"/>
      <c r="D527" s="52"/>
    </row>
    <row r="528" spans="2:4">
      <c r="B528" s="43"/>
      <c r="C528" s="50"/>
      <c r="D528" s="52"/>
    </row>
    <row r="529" spans="2:4">
      <c r="B529" s="43"/>
      <c r="C529" s="50"/>
      <c r="D529" s="52"/>
    </row>
    <row r="530" spans="2:4">
      <c r="B530" s="43"/>
      <c r="C530" s="50"/>
      <c r="D530" s="52"/>
    </row>
    <row r="531" spans="2:4">
      <c r="B531" s="43"/>
      <c r="C531" s="50"/>
      <c r="D531" s="52"/>
    </row>
    <row r="532" spans="2:4">
      <c r="B532" s="43"/>
      <c r="C532" s="50"/>
      <c r="D532" s="52"/>
    </row>
    <row r="533" spans="2:4">
      <c r="B533" s="43"/>
      <c r="C533" s="50"/>
      <c r="D533" s="52"/>
    </row>
    <row r="534" spans="2:4">
      <c r="B534" s="43"/>
      <c r="C534" s="50"/>
      <c r="D534" s="52"/>
    </row>
    <row r="535" spans="2:4">
      <c r="B535" s="43"/>
      <c r="C535" s="50"/>
      <c r="D535" s="52"/>
    </row>
    <row r="536" spans="2:4">
      <c r="B536" s="43"/>
      <c r="C536" s="50"/>
      <c r="D536" s="52"/>
    </row>
    <row r="537" spans="2:4">
      <c r="B537" s="43"/>
      <c r="C537" s="50"/>
      <c r="D537" s="52"/>
    </row>
    <row r="538" spans="2:4">
      <c r="B538" s="43"/>
      <c r="C538" s="50"/>
      <c r="D538" s="52"/>
    </row>
    <row r="539" spans="2:4">
      <c r="B539" s="43"/>
      <c r="C539" s="50"/>
      <c r="D539" s="52"/>
    </row>
    <row r="540" spans="2:4">
      <c r="B540" s="43"/>
      <c r="C540" s="50"/>
      <c r="D540" s="52"/>
    </row>
    <row r="541" spans="2:4">
      <c r="B541" s="43"/>
      <c r="C541" s="50"/>
      <c r="D541" s="52"/>
    </row>
    <row r="542" spans="2:4">
      <c r="B542" s="43"/>
      <c r="C542" s="50"/>
      <c r="D542" s="52"/>
    </row>
    <row r="543" spans="2:4">
      <c r="B543" s="43"/>
      <c r="C543" s="50"/>
      <c r="D543" s="52"/>
    </row>
    <row r="544" spans="2:4">
      <c r="B544" s="43"/>
      <c r="C544" s="50"/>
      <c r="D544" s="52"/>
    </row>
    <row r="545" spans="2:4">
      <c r="B545" s="43"/>
      <c r="C545" s="50"/>
      <c r="D545" s="52"/>
    </row>
    <row r="546" spans="2:4">
      <c r="B546" s="43"/>
      <c r="C546" s="50"/>
      <c r="D546" s="52"/>
    </row>
    <row r="547" spans="2:4">
      <c r="B547" s="43"/>
      <c r="C547" s="50"/>
      <c r="D547" s="52"/>
    </row>
    <row r="548" spans="2:4">
      <c r="B548" s="43"/>
      <c r="C548" s="50"/>
      <c r="D548" s="52"/>
    </row>
    <row r="549" spans="2:4">
      <c r="B549" s="43"/>
      <c r="C549" s="50"/>
      <c r="D549" s="52"/>
    </row>
    <row r="550" spans="2:4">
      <c r="B550" s="43"/>
      <c r="C550" s="50"/>
      <c r="D550" s="52"/>
    </row>
    <row r="551" spans="2:4">
      <c r="B551" s="43"/>
      <c r="C551" s="50"/>
      <c r="D551" s="52"/>
    </row>
    <row r="552" spans="2:4">
      <c r="B552" s="43"/>
      <c r="C552" s="50"/>
      <c r="D552" s="52"/>
    </row>
    <row r="553" spans="2:4">
      <c r="B553" s="43"/>
      <c r="C553" s="50"/>
      <c r="D553" s="52"/>
    </row>
    <row r="554" spans="2:4">
      <c r="B554" s="43"/>
      <c r="C554" s="50"/>
      <c r="D554" s="52"/>
    </row>
    <row r="555" spans="2:4">
      <c r="B555" s="43"/>
      <c r="C555" s="50"/>
      <c r="D555" s="52"/>
    </row>
    <row r="556" spans="2:4">
      <c r="B556" s="43"/>
      <c r="C556" s="50"/>
      <c r="D556" s="52"/>
    </row>
    <row r="557" spans="2:4">
      <c r="B557" s="43"/>
      <c r="C557" s="50"/>
      <c r="D557" s="52"/>
    </row>
    <row r="558" spans="2:4">
      <c r="B558" s="43"/>
      <c r="C558" s="50"/>
      <c r="D558" s="52"/>
    </row>
    <row r="559" spans="2:4">
      <c r="B559" s="43"/>
      <c r="C559" s="50"/>
      <c r="D559" s="52"/>
    </row>
    <row r="560" spans="2:4">
      <c r="B560" s="43"/>
      <c r="C560" s="50"/>
      <c r="D560" s="52"/>
    </row>
    <row r="561" spans="2:4">
      <c r="B561" s="43"/>
      <c r="C561" s="50"/>
      <c r="D561" s="52"/>
    </row>
    <row r="562" spans="2:4">
      <c r="B562" s="43"/>
      <c r="C562" s="50"/>
      <c r="D562" s="52"/>
    </row>
    <row r="563" spans="2:4">
      <c r="B563" s="43"/>
      <c r="C563" s="50"/>
      <c r="D563" s="52"/>
    </row>
    <row r="564" spans="2:4">
      <c r="B564" s="43"/>
      <c r="C564" s="50"/>
      <c r="D564" s="52"/>
    </row>
    <row r="565" spans="2:4">
      <c r="B565" s="43"/>
      <c r="C565" s="50"/>
      <c r="D565" s="52"/>
    </row>
    <row r="566" spans="2:4">
      <c r="B566" s="43"/>
      <c r="C566" s="50"/>
      <c r="D566" s="52"/>
    </row>
    <row r="567" spans="2:4">
      <c r="B567" s="43"/>
      <c r="C567" s="50"/>
      <c r="D567" s="52"/>
    </row>
    <row r="568" spans="2:4">
      <c r="B568" s="43"/>
      <c r="C568" s="50"/>
      <c r="D568" s="52"/>
    </row>
    <row r="569" spans="2:4">
      <c r="B569" s="43"/>
      <c r="C569" s="50"/>
      <c r="D569" s="52"/>
    </row>
    <row r="570" spans="2:4">
      <c r="B570" s="43"/>
      <c r="C570" s="50"/>
      <c r="D570" s="52"/>
    </row>
    <row r="571" spans="2:4">
      <c r="B571" s="43"/>
      <c r="C571" s="50"/>
      <c r="D571" s="52"/>
    </row>
    <row r="572" spans="2:4">
      <c r="B572" s="43"/>
      <c r="C572" s="50"/>
      <c r="D572" s="52"/>
    </row>
    <row r="573" spans="2:4">
      <c r="B573" s="43"/>
      <c r="C573" s="50"/>
      <c r="D573" s="52"/>
    </row>
    <row r="574" spans="2:4">
      <c r="B574" s="43"/>
      <c r="C574" s="50"/>
      <c r="D574" s="52"/>
    </row>
    <row r="575" spans="2:4">
      <c r="B575" s="43"/>
      <c r="C575" s="50"/>
      <c r="D575" s="52"/>
    </row>
    <row r="576" spans="2:4">
      <c r="B576" s="43"/>
      <c r="C576" s="50"/>
      <c r="D576" s="52"/>
    </row>
    <row r="577" spans="2:4">
      <c r="B577" s="43"/>
      <c r="C577" s="50"/>
      <c r="D577" s="52"/>
    </row>
    <row r="578" spans="2:4">
      <c r="B578" s="43"/>
      <c r="C578" s="50"/>
      <c r="D578" s="52"/>
    </row>
    <row r="579" spans="2:4">
      <c r="B579" s="43"/>
      <c r="C579" s="50"/>
      <c r="D579" s="52"/>
    </row>
    <row r="580" spans="2:4">
      <c r="B580" s="43"/>
      <c r="C580" s="50"/>
      <c r="D580" s="52"/>
    </row>
    <row r="581" spans="2:4">
      <c r="B581" s="43"/>
      <c r="C581" s="50"/>
      <c r="D581" s="52"/>
    </row>
    <row r="582" spans="2:4">
      <c r="B582" s="43"/>
      <c r="C582" s="50"/>
      <c r="D582" s="52"/>
    </row>
    <row r="583" spans="2:4">
      <c r="B583" s="43"/>
      <c r="C583" s="50"/>
      <c r="D583" s="52"/>
    </row>
    <row r="584" spans="2:4">
      <c r="B584" s="43"/>
      <c r="C584" s="50"/>
      <c r="D584" s="52"/>
    </row>
    <row r="585" spans="2:4">
      <c r="B585" s="43"/>
      <c r="C585" s="50"/>
      <c r="D585" s="52"/>
    </row>
    <row r="586" spans="2:4">
      <c r="B586" s="43"/>
      <c r="C586" s="50"/>
      <c r="D586" s="52"/>
    </row>
    <row r="587" spans="2:4">
      <c r="B587" s="43"/>
      <c r="C587" s="50"/>
      <c r="D587" s="52"/>
    </row>
    <row r="588" spans="2:4">
      <c r="B588" s="43"/>
      <c r="C588" s="50"/>
      <c r="D588" s="52"/>
    </row>
    <row r="589" spans="2:4">
      <c r="B589" s="43"/>
      <c r="C589" s="50"/>
      <c r="D589" s="52"/>
    </row>
    <row r="590" spans="2:4">
      <c r="B590" s="43"/>
      <c r="C590" s="50"/>
      <c r="D590" s="52"/>
    </row>
    <row r="591" spans="2:4">
      <c r="B591" s="43"/>
      <c r="C591" s="50"/>
      <c r="D591" s="52"/>
    </row>
    <row r="592" spans="2:4">
      <c r="B592" s="43"/>
      <c r="C592" s="50"/>
      <c r="D592" s="52"/>
    </row>
    <row r="593" spans="2:4">
      <c r="B593" s="43"/>
      <c r="C593" s="50"/>
      <c r="D593" s="52"/>
    </row>
    <row r="594" spans="2:4">
      <c r="B594" s="43"/>
      <c r="C594" s="50"/>
      <c r="D594" s="52"/>
    </row>
    <row r="595" spans="2:4">
      <c r="B595" s="43"/>
      <c r="C595" s="50"/>
      <c r="D595" s="52"/>
    </row>
    <row r="596" spans="2:4">
      <c r="B596" s="43"/>
      <c r="C596" s="50"/>
      <c r="D596" s="52"/>
    </row>
    <row r="597" spans="2:4">
      <c r="B597" s="43"/>
      <c r="C597" s="50"/>
      <c r="D597" s="52"/>
    </row>
    <row r="598" spans="2:4">
      <c r="B598" s="43"/>
      <c r="C598" s="50"/>
      <c r="D598" s="52"/>
    </row>
    <row r="599" spans="2:4">
      <c r="B599" s="43"/>
      <c r="C599" s="50"/>
      <c r="D599" s="52"/>
    </row>
    <row r="600" spans="2:4">
      <c r="B600" s="43"/>
      <c r="C600" s="50"/>
      <c r="D600" s="52"/>
    </row>
    <row r="601" spans="2:4">
      <c r="B601" s="43"/>
      <c r="C601" s="50"/>
      <c r="D601" s="52"/>
    </row>
    <row r="602" spans="2:4">
      <c r="B602" s="43"/>
      <c r="C602" s="50"/>
      <c r="D602" s="52"/>
    </row>
    <row r="603" spans="2:4">
      <c r="B603" s="43"/>
      <c r="C603" s="50"/>
      <c r="D603" s="52"/>
    </row>
    <row r="604" spans="2:4">
      <c r="B604" s="43"/>
      <c r="C604" s="50"/>
      <c r="D604" s="52"/>
    </row>
    <row r="605" spans="2:4">
      <c r="B605" s="43"/>
      <c r="C605" s="50"/>
      <c r="D605" s="52"/>
    </row>
    <row r="606" spans="2:4">
      <c r="B606" s="43"/>
      <c r="C606" s="50"/>
      <c r="D606" s="52"/>
    </row>
    <row r="607" spans="2:4">
      <c r="B607" s="43"/>
      <c r="C607" s="50"/>
      <c r="D607" s="52"/>
    </row>
    <row r="608" spans="2:4">
      <c r="B608" s="43"/>
      <c r="C608" s="50"/>
      <c r="D608" s="52"/>
    </row>
    <row r="609" spans="2:4">
      <c r="B609" s="43"/>
      <c r="C609" s="50"/>
      <c r="D609" s="52"/>
    </row>
    <row r="610" spans="2:4">
      <c r="B610" s="43"/>
      <c r="C610" s="50"/>
      <c r="D610" s="52"/>
    </row>
    <row r="611" spans="2:4">
      <c r="B611" s="43"/>
      <c r="C611" s="50"/>
      <c r="D611" s="52"/>
    </row>
    <row r="612" spans="2:4">
      <c r="B612" s="43"/>
      <c r="C612" s="50"/>
      <c r="D612" s="52"/>
    </row>
    <row r="613" spans="2:4">
      <c r="B613" s="43"/>
      <c r="C613" s="50"/>
      <c r="D613" s="52"/>
    </row>
    <row r="614" spans="2:4">
      <c r="B614" s="43"/>
      <c r="C614" s="50"/>
      <c r="D614" s="52"/>
    </row>
    <row r="615" spans="2:4">
      <c r="B615" s="43"/>
      <c r="C615" s="50"/>
      <c r="D615" s="52"/>
    </row>
    <row r="616" spans="2:4">
      <c r="B616" s="43"/>
      <c r="C616" s="50"/>
      <c r="D616" s="52"/>
    </row>
    <row r="617" spans="2:4">
      <c r="B617" s="43"/>
      <c r="C617" s="50"/>
      <c r="D617" s="52"/>
    </row>
    <row r="618" spans="2:4">
      <c r="B618" s="43"/>
      <c r="C618" s="50"/>
      <c r="D618" s="52"/>
    </row>
    <row r="619" spans="2:4">
      <c r="B619" s="43"/>
      <c r="C619" s="50"/>
      <c r="D619" s="52"/>
    </row>
    <row r="620" spans="2:4">
      <c r="B620" s="43"/>
      <c r="C620" s="50"/>
      <c r="D620" s="52"/>
    </row>
    <row r="621" spans="2:4">
      <c r="B621" s="43"/>
      <c r="C621" s="50"/>
      <c r="D621" s="52"/>
    </row>
    <row r="622" spans="2:4">
      <c r="B622" s="43"/>
      <c r="C622" s="50"/>
      <c r="D622" s="52"/>
    </row>
    <row r="623" spans="2:4">
      <c r="B623" s="43"/>
      <c r="C623" s="50"/>
      <c r="D623" s="52"/>
    </row>
    <row r="624" spans="2:4">
      <c r="B624" s="43"/>
      <c r="C624" s="50"/>
      <c r="D624" s="52"/>
    </row>
    <row r="625" spans="2:4">
      <c r="B625" s="43"/>
      <c r="C625" s="50"/>
      <c r="D625" s="52"/>
    </row>
    <row r="626" spans="2:4">
      <c r="B626" s="43"/>
      <c r="C626" s="50"/>
      <c r="D626" s="52"/>
    </row>
    <row r="627" spans="2:4">
      <c r="B627" s="43"/>
      <c r="C627" s="50"/>
      <c r="D627" s="52"/>
    </row>
    <row r="628" spans="2:4">
      <c r="B628" s="43"/>
      <c r="C628" s="50"/>
      <c r="D628" s="52"/>
    </row>
    <row r="629" spans="2:4">
      <c r="B629" s="43"/>
      <c r="C629" s="50"/>
      <c r="D629" s="52"/>
    </row>
    <row r="630" spans="2:4">
      <c r="B630" s="43"/>
      <c r="C630" s="50"/>
      <c r="D630" s="52"/>
    </row>
    <row r="631" spans="2:4">
      <c r="B631" s="43"/>
      <c r="C631" s="50"/>
      <c r="D631" s="52"/>
    </row>
    <row r="632" spans="2:4">
      <c r="B632" s="43"/>
      <c r="C632" s="50"/>
      <c r="D632" s="52"/>
    </row>
    <row r="633" spans="2:4">
      <c r="B633" s="43"/>
      <c r="C633" s="50"/>
      <c r="D633" s="52"/>
    </row>
    <row r="634" spans="2:4">
      <c r="B634" s="43"/>
      <c r="C634" s="50"/>
      <c r="D634" s="52"/>
    </row>
    <row r="635" spans="2:4">
      <c r="B635" s="43"/>
      <c r="C635" s="50"/>
      <c r="D635" s="52"/>
    </row>
    <row r="636" spans="2:4">
      <c r="B636" s="43"/>
      <c r="C636" s="50"/>
      <c r="D636" s="52"/>
    </row>
    <row r="637" spans="2:4">
      <c r="B637" s="43"/>
      <c r="C637" s="50"/>
      <c r="D637" s="52"/>
    </row>
    <row r="638" spans="2:4">
      <c r="B638" s="43"/>
      <c r="C638" s="50"/>
      <c r="D638" s="52"/>
    </row>
    <row r="639" spans="2:4">
      <c r="B639" s="43"/>
      <c r="C639" s="50"/>
      <c r="D639" s="52"/>
    </row>
    <row r="640" spans="2:4">
      <c r="B640" s="43"/>
      <c r="C640" s="50"/>
      <c r="D640" s="52"/>
    </row>
    <row r="641" spans="2:4">
      <c r="B641" s="43"/>
      <c r="C641" s="50"/>
      <c r="D641" s="52"/>
    </row>
    <row r="642" spans="2:4">
      <c r="B642" s="43"/>
      <c r="C642" s="50"/>
      <c r="D642" s="52"/>
    </row>
    <row r="643" spans="2:4">
      <c r="B643" s="43"/>
      <c r="C643" s="50"/>
      <c r="D643" s="52"/>
    </row>
    <row r="644" spans="2:4">
      <c r="B644" s="43"/>
      <c r="C644" s="50"/>
      <c r="D644" s="52"/>
    </row>
    <row r="645" spans="2:4">
      <c r="B645" s="43"/>
      <c r="C645" s="50"/>
      <c r="D645" s="52"/>
    </row>
    <row r="646" spans="2:4">
      <c r="B646" s="43"/>
      <c r="C646" s="50"/>
      <c r="D646" s="52"/>
    </row>
    <row r="647" spans="2:4">
      <c r="B647" s="43"/>
      <c r="C647" s="50"/>
      <c r="D647" s="52"/>
    </row>
    <row r="648" spans="2:4">
      <c r="B648" s="43"/>
      <c r="C648" s="50"/>
      <c r="D648" s="52"/>
    </row>
    <row r="649" spans="2:4">
      <c r="B649" s="43"/>
      <c r="C649" s="50"/>
      <c r="D649" s="52"/>
    </row>
    <row r="650" spans="2:4">
      <c r="B650" s="43"/>
      <c r="C650" s="50"/>
      <c r="D650" s="52"/>
    </row>
    <row r="651" spans="2:4">
      <c r="B651" s="43"/>
      <c r="C651" s="50"/>
      <c r="D651" s="52"/>
    </row>
    <row r="652" spans="2:4">
      <c r="B652" s="43"/>
      <c r="C652" s="50"/>
      <c r="D652" s="52"/>
    </row>
    <row r="653" spans="2:4">
      <c r="B653" s="43"/>
      <c r="C653" s="50"/>
      <c r="D653" s="52"/>
    </row>
    <row r="654" spans="2:4">
      <c r="B654" s="43"/>
      <c r="C654" s="50"/>
      <c r="D654" s="52"/>
    </row>
    <row r="655" spans="2:4">
      <c r="B655" s="43"/>
      <c r="C655" s="50"/>
      <c r="D655" s="52"/>
    </row>
    <row r="656" spans="2:4">
      <c r="B656" s="43"/>
      <c r="C656" s="50"/>
      <c r="D656" s="52"/>
    </row>
    <row r="657" spans="2:4">
      <c r="B657" s="43"/>
      <c r="C657" s="50"/>
      <c r="D657" s="52"/>
    </row>
    <row r="658" spans="2:4">
      <c r="B658" s="43"/>
      <c r="C658" s="50"/>
      <c r="D658" s="52"/>
    </row>
    <row r="659" spans="2:4">
      <c r="B659" s="43"/>
      <c r="C659" s="50"/>
      <c r="D659" s="52"/>
    </row>
    <row r="660" spans="2:4">
      <c r="B660" s="43"/>
      <c r="C660" s="50"/>
      <c r="D660" s="52"/>
    </row>
    <row r="661" spans="2:4">
      <c r="B661" s="43"/>
      <c r="C661" s="50"/>
      <c r="D661" s="52"/>
    </row>
    <row r="662" spans="2:4">
      <c r="B662" s="43"/>
      <c r="C662" s="50"/>
      <c r="D662" s="52"/>
    </row>
    <row r="663" spans="2:4">
      <c r="B663" s="43"/>
      <c r="C663" s="50"/>
      <c r="D663" s="52"/>
    </row>
    <row r="664" spans="2:4">
      <c r="B664" s="43"/>
      <c r="C664" s="50"/>
      <c r="D664" s="52"/>
    </row>
    <row r="665" spans="2:4">
      <c r="B665" s="43"/>
      <c r="C665" s="50"/>
      <c r="D665" s="52"/>
    </row>
    <row r="666" spans="2:4">
      <c r="B666" s="43"/>
      <c r="C666" s="50"/>
      <c r="D666" s="52"/>
    </row>
    <row r="667" spans="2:4">
      <c r="B667" s="43"/>
      <c r="C667" s="50"/>
      <c r="D667" s="52"/>
    </row>
    <row r="668" spans="2:4">
      <c r="B668" s="43"/>
      <c r="C668" s="50"/>
      <c r="D668" s="52"/>
    </row>
    <row r="669" spans="2:4">
      <c r="B669" s="43"/>
      <c r="C669" s="50"/>
      <c r="D669" s="52"/>
    </row>
    <row r="670" spans="2:4">
      <c r="B670" s="43"/>
      <c r="C670" s="50"/>
      <c r="D670" s="52"/>
    </row>
    <row r="671" spans="2:4">
      <c r="B671" s="43"/>
      <c r="C671" s="50"/>
      <c r="D671" s="52"/>
    </row>
    <row r="672" spans="2:4">
      <c r="B672" s="43"/>
      <c r="C672" s="50"/>
      <c r="D672" s="52"/>
    </row>
    <row r="673" spans="2:4">
      <c r="B673" s="43"/>
      <c r="C673" s="50"/>
      <c r="D673" s="52"/>
    </row>
    <row r="674" spans="2:4">
      <c r="B674" s="43"/>
      <c r="C674" s="50"/>
      <c r="D674" s="52"/>
    </row>
    <row r="675" spans="2:4">
      <c r="B675" s="43"/>
      <c r="C675" s="50"/>
      <c r="D675" s="52"/>
    </row>
    <row r="676" spans="2:4">
      <c r="B676" s="43"/>
      <c r="C676" s="50"/>
      <c r="D676" s="52"/>
    </row>
    <row r="677" spans="2:4">
      <c r="B677" s="43"/>
      <c r="C677" s="50"/>
      <c r="D677" s="52"/>
    </row>
    <row r="678" spans="2:4">
      <c r="B678" s="43"/>
      <c r="C678" s="50"/>
      <c r="D678" s="52"/>
    </row>
    <row r="679" spans="2:4">
      <c r="B679" s="43"/>
      <c r="C679" s="50"/>
      <c r="D679" s="52"/>
    </row>
    <row r="680" spans="2:4">
      <c r="B680" s="43"/>
      <c r="C680" s="50"/>
      <c r="D680" s="52"/>
    </row>
    <row r="681" spans="2:4">
      <c r="B681" s="43"/>
      <c r="C681" s="50"/>
      <c r="D681" s="52"/>
    </row>
    <row r="682" spans="2:4">
      <c r="B682" s="43"/>
      <c r="C682" s="50"/>
      <c r="D682" s="52"/>
    </row>
    <row r="683" spans="2:4">
      <c r="B683" s="43"/>
      <c r="C683" s="50"/>
      <c r="D683" s="52"/>
    </row>
    <row r="684" spans="2:4">
      <c r="B684" s="43"/>
      <c r="C684" s="50"/>
      <c r="D684" s="52"/>
    </row>
    <row r="685" spans="2:4">
      <c r="B685" s="43"/>
      <c r="C685" s="50"/>
      <c r="D685" s="52"/>
    </row>
    <row r="686" spans="2:4">
      <c r="B686" s="43"/>
      <c r="C686" s="50"/>
      <c r="D686" s="52"/>
    </row>
    <row r="687" spans="2:4">
      <c r="B687" s="43"/>
      <c r="C687" s="50"/>
      <c r="D687" s="52"/>
    </row>
    <row r="688" spans="2:4">
      <c r="B688" s="43"/>
      <c r="C688" s="50"/>
      <c r="D688" s="52"/>
    </row>
    <row r="689" spans="2:4">
      <c r="B689" s="43"/>
      <c r="C689" s="50"/>
      <c r="D689" s="52"/>
    </row>
    <row r="690" spans="2:4">
      <c r="B690" s="43"/>
      <c r="C690" s="50"/>
      <c r="D690" s="52"/>
    </row>
    <row r="691" spans="2:4">
      <c r="B691" s="43"/>
      <c r="C691" s="50"/>
      <c r="D691" s="52"/>
    </row>
    <row r="692" spans="2:4">
      <c r="B692" s="43"/>
      <c r="C692" s="50"/>
      <c r="D692" s="52"/>
    </row>
    <row r="693" spans="2:4">
      <c r="B693" s="43"/>
      <c r="C693" s="50"/>
      <c r="D693" s="52"/>
    </row>
    <row r="694" spans="2:4">
      <c r="B694" s="43"/>
      <c r="C694" s="50"/>
      <c r="D694" s="52"/>
    </row>
    <row r="695" spans="2:4">
      <c r="B695" s="43"/>
      <c r="C695" s="50"/>
      <c r="D695" s="52"/>
    </row>
    <row r="696" spans="2:4">
      <c r="B696" s="43"/>
      <c r="C696" s="50"/>
      <c r="D696" s="52"/>
    </row>
    <row r="697" spans="2:4">
      <c r="B697" s="43"/>
      <c r="C697" s="50"/>
      <c r="D697" s="52"/>
    </row>
    <row r="698" spans="2:4">
      <c r="B698" s="43"/>
      <c r="C698" s="50"/>
      <c r="D698" s="52"/>
    </row>
    <row r="699" spans="2:4">
      <c r="B699" s="43"/>
      <c r="C699" s="50"/>
      <c r="D699" s="52"/>
    </row>
    <row r="700" spans="2:4">
      <c r="B700" s="43"/>
      <c r="C700" s="50"/>
      <c r="D700" s="52"/>
    </row>
    <row r="701" spans="2:4">
      <c r="B701" s="43"/>
      <c r="C701" s="50"/>
      <c r="D701" s="52"/>
    </row>
    <row r="702" spans="2:4">
      <c r="B702" s="43"/>
      <c r="C702" s="50"/>
      <c r="D702" s="52"/>
    </row>
    <row r="703" spans="2:4">
      <c r="B703" s="43"/>
      <c r="C703" s="50"/>
      <c r="D703" s="52"/>
    </row>
    <row r="704" spans="2:4">
      <c r="B704" s="43"/>
      <c r="C704" s="50"/>
      <c r="D704" s="52"/>
    </row>
    <row r="705" spans="2:4">
      <c r="B705" s="43"/>
      <c r="C705" s="50"/>
      <c r="D705" s="52"/>
    </row>
    <row r="706" spans="2:4">
      <c r="B706" s="43"/>
      <c r="C706" s="50"/>
      <c r="D706" s="52"/>
    </row>
    <row r="707" spans="2:4">
      <c r="B707" s="43"/>
      <c r="C707" s="50"/>
      <c r="D707" s="52"/>
    </row>
    <row r="708" spans="2:4">
      <c r="B708" s="43"/>
      <c r="C708" s="50"/>
      <c r="D708" s="52"/>
    </row>
    <row r="709" spans="2:4">
      <c r="B709" s="43"/>
      <c r="C709" s="50"/>
      <c r="D709" s="52"/>
    </row>
    <row r="710" spans="2:4">
      <c r="B710" s="43"/>
      <c r="C710" s="50"/>
      <c r="D710" s="52"/>
    </row>
    <row r="711" spans="2:4">
      <c r="B711" s="43"/>
      <c r="C711" s="50"/>
      <c r="D711" s="52"/>
    </row>
    <row r="712" spans="2:4">
      <c r="B712" s="43"/>
      <c r="C712" s="50"/>
      <c r="D712" s="52"/>
    </row>
    <row r="713" spans="2:4">
      <c r="B713" s="43"/>
      <c r="C713" s="50"/>
      <c r="D713" s="52"/>
    </row>
    <row r="714" spans="2:4">
      <c r="B714" s="43"/>
      <c r="C714" s="50"/>
      <c r="D714" s="52"/>
    </row>
    <row r="715" spans="2:4">
      <c r="B715" s="43"/>
      <c r="C715" s="50"/>
      <c r="D715" s="52"/>
    </row>
    <row r="716" spans="2:4">
      <c r="B716" s="43"/>
      <c r="C716" s="50"/>
      <c r="D716" s="52"/>
    </row>
    <row r="717" spans="2:4">
      <c r="B717" s="43"/>
      <c r="C717" s="50"/>
      <c r="D717" s="52"/>
    </row>
    <row r="718" spans="2:4">
      <c r="B718" s="43"/>
      <c r="C718" s="50"/>
      <c r="D718" s="52"/>
    </row>
    <row r="719" spans="2:4">
      <c r="B719" s="43"/>
      <c r="C719" s="50"/>
      <c r="D719" s="52"/>
    </row>
    <row r="720" spans="2:4">
      <c r="B720" s="43"/>
      <c r="C720" s="50"/>
      <c r="D720" s="52"/>
    </row>
    <row r="721" spans="2:4">
      <c r="B721" s="43"/>
      <c r="C721" s="50"/>
      <c r="D721" s="52"/>
    </row>
    <row r="722" spans="2:4">
      <c r="B722" s="43"/>
      <c r="C722" s="50"/>
      <c r="D722" s="52"/>
    </row>
    <row r="723" spans="2:4">
      <c r="B723" s="43"/>
      <c r="C723" s="50"/>
      <c r="D723" s="52"/>
    </row>
    <row r="724" spans="2:4">
      <c r="B724" s="43"/>
      <c r="C724" s="50"/>
      <c r="D724" s="52"/>
    </row>
    <row r="725" spans="2:4">
      <c r="B725" s="43"/>
      <c r="C725" s="50"/>
      <c r="D725" s="52"/>
    </row>
    <row r="726" spans="2:4">
      <c r="B726" s="43"/>
      <c r="C726" s="50"/>
      <c r="D726" s="52"/>
    </row>
    <row r="727" spans="2:4">
      <c r="B727" s="43"/>
      <c r="C727" s="50"/>
      <c r="D727" s="52"/>
    </row>
    <row r="728" spans="2:4">
      <c r="B728" s="43"/>
      <c r="C728" s="50"/>
      <c r="D728" s="52"/>
    </row>
    <row r="729" spans="2:4">
      <c r="B729" s="43"/>
      <c r="C729" s="50"/>
      <c r="D729" s="52"/>
    </row>
    <row r="730" spans="2:4">
      <c r="B730" s="43"/>
      <c r="C730" s="50"/>
      <c r="D730" s="52"/>
    </row>
    <row r="731" spans="2:4">
      <c r="B731" s="43"/>
      <c r="C731" s="50"/>
      <c r="D731" s="52"/>
    </row>
    <row r="732" spans="2:4">
      <c r="B732" s="43"/>
      <c r="C732" s="50"/>
      <c r="D732" s="52"/>
    </row>
    <row r="733" spans="2:4">
      <c r="B733" s="43"/>
      <c r="C733" s="50"/>
      <c r="D733" s="52"/>
    </row>
    <row r="734" spans="2:4">
      <c r="B734" s="43"/>
      <c r="C734" s="50"/>
      <c r="D734" s="52"/>
    </row>
    <row r="735" spans="2:4">
      <c r="B735" s="43"/>
      <c r="C735" s="50"/>
      <c r="D735" s="52"/>
    </row>
    <row r="736" spans="2:4">
      <c r="B736" s="43"/>
      <c r="C736" s="50"/>
      <c r="D736" s="52"/>
    </row>
    <row r="737" spans="2:4">
      <c r="B737" s="43"/>
      <c r="C737" s="50"/>
      <c r="D737" s="52"/>
    </row>
    <row r="738" spans="2:4">
      <c r="B738" s="43"/>
      <c r="C738" s="50"/>
      <c r="D738" s="52"/>
    </row>
    <row r="739" spans="2:4">
      <c r="B739" s="43"/>
      <c r="C739" s="50"/>
      <c r="D739" s="52"/>
    </row>
    <row r="740" spans="2:4">
      <c r="B740" s="43"/>
      <c r="C740" s="50"/>
      <c r="D740" s="52"/>
    </row>
    <row r="741" spans="2:4">
      <c r="B741" s="43"/>
      <c r="C741" s="50"/>
      <c r="D741" s="52"/>
    </row>
    <row r="742" spans="2:4">
      <c r="B742" s="43"/>
      <c r="C742" s="50"/>
      <c r="D742" s="52"/>
    </row>
    <row r="743" spans="2:4">
      <c r="B743" s="43"/>
      <c r="C743" s="50"/>
      <c r="D743" s="52"/>
    </row>
    <row r="744" spans="2:4">
      <c r="B744" s="43"/>
      <c r="C744" s="50"/>
      <c r="D744" s="52"/>
    </row>
    <row r="745" spans="2:4">
      <c r="B745" s="43"/>
      <c r="C745" s="50"/>
      <c r="D745" s="52"/>
    </row>
    <row r="746" spans="2:4">
      <c r="B746" s="43"/>
      <c r="C746" s="50"/>
      <c r="D746" s="52"/>
    </row>
    <row r="747" spans="2:4">
      <c r="B747" s="43"/>
      <c r="C747" s="50"/>
      <c r="D747" s="52"/>
    </row>
    <row r="748" spans="2:4">
      <c r="B748" s="43"/>
      <c r="C748" s="50"/>
      <c r="D748" s="52"/>
    </row>
    <row r="749" spans="2:4">
      <c r="B749" s="43"/>
      <c r="C749" s="50"/>
      <c r="D749" s="52"/>
    </row>
    <row r="750" spans="2:4">
      <c r="B750" s="43"/>
      <c r="C750" s="50"/>
      <c r="D750" s="52"/>
    </row>
    <row r="751" spans="2:4">
      <c r="B751" s="43"/>
      <c r="C751" s="50"/>
      <c r="D751" s="52"/>
    </row>
    <row r="752" spans="2:4">
      <c r="B752" s="43"/>
      <c r="C752" s="50"/>
      <c r="D752" s="52"/>
    </row>
    <row r="753" spans="2:4">
      <c r="B753" s="43"/>
      <c r="C753" s="50"/>
      <c r="D753" s="52"/>
    </row>
    <row r="754" spans="2:4">
      <c r="B754" s="43"/>
      <c r="C754" s="50"/>
      <c r="D754" s="52"/>
    </row>
    <row r="755" spans="2:4">
      <c r="B755" s="43"/>
      <c r="C755" s="50"/>
      <c r="D755" s="52"/>
    </row>
    <row r="756" spans="2:4">
      <c r="B756" s="43"/>
      <c r="C756" s="50"/>
      <c r="D756" s="52"/>
    </row>
    <row r="757" spans="2:4">
      <c r="B757" s="43"/>
      <c r="C757" s="50"/>
      <c r="D757" s="52"/>
    </row>
    <row r="758" spans="2:4">
      <c r="B758" s="43"/>
      <c r="C758" s="50"/>
      <c r="D758" s="52"/>
    </row>
    <row r="759" spans="2:4">
      <c r="B759" s="43"/>
      <c r="C759" s="50"/>
      <c r="D759" s="52"/>
    </row>
    <row r="760" spans="2:4">
      <c r="B760" s="43"/>
      <c r="C760" s="50"/>
      <c r="D760" s="52"/>
    </row>
    <row r="761" spans="2:4">
      <c r="B761" s="43"/>
      <c r="C761" s="50"/>
      <c r="D761" s="52"/>
    </row>
    <row r="762" spans="2:4">
      <c r="B762" s="43"/>
      <c r="C762" s="50"/>
      <c r="D762" s="52"/>
    </row>
    <row r="763" spans="2:4">
      <c r="B763" s="43"/>
      <c r="C763" s="50"/>
      <c r="D763" s="52"/>
    </row>
    <row r="764" spans="2:4">
      <c r="B764" s="43"/>
      <c r="C764" s="50"/>
      <c r="D764" s="52"/>
    </row>
    <row r="765" spans="2:4">
      <c r="B765" s="43"/>
      <c r="C765" s="50"/>
      <c r="D765" s="52"/>
    </row>
    <row r="766" spans="2:4">
      <c r="B766" s="43"/>
      <c r="C766" s="50"/>
      <c r="D766" s="52"/>
    </row>
    <row r="767" spans="2:4">
      <c r="B767" s="43"/>
      <c r="C767" s="50"/>
      <c r="D767" s="52"/>
    </row>
    <row r="768" spans="2:4">
      <c r="B768" s="43"/>
      <c r="C768" s="50"/>
      <c r="D768" s="52"/>
    </row>
    <row r="769" spans="2:4">
      <c r="B769" s="43"/>
      <c r="C769" s="50"/>
      <c r="D769" s="52"/>
    </row>
    <row r="770" spans="2:4">
      <c r="B770" s="43"/>
      <c r="C770" s="50"/>
      <c r="D770" s="52"/>
    </row>
    <row r="771" spans="2:4">
      <c r="B771" s="43"/>
      <c r="C771" s="50"/>
      <c r="D771" s="52"/>
    </row>
    <row r="772" spans="2:4">
      <c r="B772" s="43"/>
      <c r="C772" s="50"/>
      <c r="D772" s="52"/>
    </row>
    <row r="773" spans="2:4">
      <c r="B773" s="43"/>
      <c r="C773" s="50"/>
      <c r="D773" s="52"/>
    </row>
    <row r="774" spans="2:4">
      <c r="B774" s="43"/>
      <c r="C774" s="50"/>
      <c r="D774" s="52"/>
    </row>
    <row r="775" spans="2:4">
      <c r="B775" s="43"/>
      <c r="C775" s="50"/>
      <c r="D775" s="52"/>
    </row>
    <row r="776" spans="2:4">
      <c r="B776" s="43"/>
      <c r="C776" s="50"/>
      <c r="D776" s="52"/>
    </row>
    <row r="777" spans="2:4">
      <c r="B777" s="43"/>
      <c r="C777" s="50"/>
      <c r="D777" s="52"/>
    </row>
    <row r="778" spans="2:4">
      <c r="B778" s="43"/>
      <c r="C778" s="50"/>
      <c r="D778" s="52"/>
    </row>
    <row r="779" spans="2:4">
      <c r="B779" s="43"/>
      <c r="C779" s="50"/>
      <c r="D779" s="52"/>
    </row>
    <row r="780" spans="2:4">
      <c r="B780" s="43"/>
      <c r="C780" s="50"/>
      <c r="D780" s="52"/>
    </row>
    <row r="781" spans="2:4">
      <c r="B781" s="43"/>
      <c r="C781" s="50"/>
      <c r="D781" s="52"/>
    </row>
    <row r="782" spans="2:4">
      <c r="B782" s="43"/>
      <c r="C782" s="50"/>
      <c r="D782" s="52"/>
    </row>
    <row r="783" spans="2:4">
      <c r="B783" s="43"/>
      <c r="C783" s="50"/>
      <c r="D783" s="52"/>
    </row>
    <row r="784" spans="2:4">
      <c r="B784" s="43"/>
      <c r="C784" s="50"/>
      <c r="D784" s="52"/>
    </row>
    <row r="785" spans="2:4">
      <c r="B785" s="43"/>
      <c r="C785" s="50"/>
      <c r="D785" s="52"/>
    </row>
    <row r="786" spans="2:4">
      <c r="B786" s="43"/>
      <c r="C786" s="50"/>
      <c r="D786" s="52"/>
    </row>
    <row r="787" spans="2:4">
      <c r="B787" s="43"/>
      <c r="C787" s="50"/>
      <c r="D787" s="52"/>
    </row>
    <row r="788" spans="2:4">
      <c r="B788" s="43"/>
      <c r="C788" s="50"/>
      <c r="D788" s="52"/>
    </row>
    <row r="789" spans="2:4">
      <c r="B789" s="43"/>
      <c r="C789" s="50"/>
      <c r="D789" s="52"/>
    </row>
    <row r="790" spans="2:4">
      <c r="B790" s="43"/>
      <c r="C790" s="50"/>
      <c r="D790" s="52"/>
    </row>
    <row r="791" spans="2:4">
      <c r="B791" s="43"/>
      <c r="C791" s="50"/>
      <c r="D791" s="52"/>
    </row>
    <row r="792" spans="2:4">
      <c r="B792" s="43"/>
      <c r="C792" s="50"/>
      <c r="D792" s="52"/>
    </row>
    <row r="793" spans="2:4">
      <c r="B793" s="43"/>
      <c r="C793" s="50"/>
      <c r="D793" s="52"/>
    </row>
    <row r="794" spans="2:4">
      <c r="B794" s="43"/>
      <c r="C794" s="50"/>
      <c r="D794" s="52"/>
    </row>
    <row r="795" spans="2:4">
      <c r="B795" s="43"/>
      <c r="C795" s="50"/>
      <c r="D795" s="52"/>
    </row>
    <row r="796" spans="2:4">
      <c r="B796" s="43"/>
      <c r="C796" s="50"/>
      <c r="D796" s="52"/>
    </row>
    <row r="797" spans="2:4">
      <c r="B797" s="43"/>
      <c r="C797" s="50"/>
      <c r="D797" s="52"/>
    </row>
    <row r="798" spans="2:4">
      <c r="B798" s="43"/>
      <c r="C798" s="50"/>
      <c r="D798" s="52"/>
    </row>
    <row r="799" spans="2:4">
      <c r="B799" s="43"/>
      <c r="C799" s="50"/>
      <c r="D799" s="52"/>
    </row>
    <row r="800" spans="2:4">
      <c r="B800" s="43"/>
      <c r="C800" s="50"/>
      <c r="D800" s="52"/>
    </row>
    <row r="801" spans="2:4">
      <c r="B801" s="43"/>
      <c r="C801" s="50"/>
      <c r="D801" s="52"/>
    </row>
    <row r="802" spans="2:4">
      <c r="B802" s="43"/>
      <c r="C802" s="50"/>
      <c r="D802" s="52"/>
    </row>
    <row r="803" spans="2:4">
      <c r="B803" s="43"/>
      <c r="C803" s="50"/>
      <c r="D803" s="52"/>
    </row>
    <row r="804" spans="2:4">
      <c r="B804" s="43"/>
      <c r="C804" s="50"/>
      <c r="D804" s="52"/>
    </row>
    <row r="805" spans="2:4">
      <c r="B805" s="43"/>
      <c r="C805" s="50"/>
      <c r="D805" s="52"/>
    </row>
    <row r="806" spans="2:4">
      <c r="B806" s="43"/>
      <c r="C806" s="50"/>
      <c r="D806" s="52"/>
    </row>
    <row r="807" spans="2:4">
      <c r="B807" s="43"/>
      <c r="C807" s="50"/>
      <c r="D807" s="52"/>
    </row>
    <row r="808" spans="2:4">
      <c r="B808" s="43"/>
      <c r="C808" s="50"/>
      <c r="D808" s="52"/>
    </row>
    <row r="809" spans="2:4">
      <c r="B809" s="43"/>
      <c r="C809" s="50"/>
      <c r="D809" s="52"/>
    </row>
    <row r="810" spans="2:4">
      <c r="B810" s="43"/>
      <c r="C810" s="50"/>
      <c r="D810" s="52"/>
    </row>
    <row r="811" spans="2:4">
      <c r="B811" s="43"/>
      <c r="C811" s="50"/>
      <c r="D811" s="52"/>
    </row>
    <row r="812" spans="2:4">
      <c r="B812" s="43"/>
      <c r="C812" s="50"/>
      <c r="D812" s="52"/>
    </row>
    <row r="813" spans="2:4">
      <c r="B813" s="43"/>
      <c r="C813" s="50"/>
      <c r="D813" s="52"/>
    </row>
    <row r="814" spans="2:4">
      <c r="B814" s="43"/>
      <c r="C814" s="50"/>
      <c r="D814" s="52"/>
    </row>
    <row r="815" spans="2:4">
      <c r="B815" s="43"/>
      <c r="C815" s="50"/>
      <c r="D815" s="52"/>
    </row>
    <row r="816" spans="2:4">
      <c r="B816" s="43"/>
      <c r="C816" s="50"/>
      <c r="D816" s="52"/>
    </row>
    <row r="817" spans="2:4">
      <c r="B817" s="43"/>
      <c r="C817" s="50"/>
      <c r="D817" s="52"/>
    </row>
    <row r="818" spans="2:4">
      <c r="B818" s="43"/>
      <c r="C818" s="50"/>
      <c r="D818" s="52"/>
    </row>
    <row r="819" spans="2:4">
      <c r="B819" s="43"/>
      <c r="C819" s="50"/>
      <c r="D819" s="52"/>
    </row>
    <row r="820" spans="2:4">
      <c r="B820" s="43"/>
      <c r="C820" s="50"/>
      <c r="D820" s="52"/>
    </row>
    <row r="821" spans="2:4">
      <c r="B821" s="43"/>
      <c r="C821" s="50"/>
      <c r="D821" s="52"/>
    </row>
    <row r="822" spans="2:4">
      <c r="B822" s="43"/>
      <c r="C822" s="50"/>
      <c r="D822" s="52"/>
    </row>
    <row r="823" spans="2:4">
      <c r="B823" s="43"/>
      <c r="C823" s="50"/>
      <c r="D823" s="52"/>
    </row>
    <row r="824" spans="2:4">
      <c r="B824" s="43"/>
      <c r="C824" s="50"/>
      <c r="D824" s="52"/>
    </row>
    <row r="825" spans="2:4">
      <c r="B825" s="43"/>
      <c r="C825" s="50"/>
      <c r="D825" s="52"/>
    </row>
    <row r="826" spans="2:4">
      <c r="B826" s="43"/>
      <c r="C826" s="50"/>
      <c r="D826" s="52"/>
    </row>
    <row r="827" spans="2:4">
      <c r="B827" s="43"/>
      <c r="C827" s="50"/>
      <c r="D827" s="52"/>
    </row>
    <row r="828" spans="2:4">
      <c r="B828" s="43"/>
      <c r="C828" s="50"/>
      <c r="D828" s="52"/>
    </row>
    <row r="829" spans="2:4">
      <c r="B829" s="43"/>
      <c r="C829" s="50"/>
      <c r="D829" s="52"/>
    </row>
    <row r="830" spans="2:4">
      <c r="B830" s="43"/>
      <c r="C830" s="50"/>
      <c r="D830" s="52"/>
    </row>
    <row r="831" spans="2:4">
      <c r="B831" s="43"/>
      <c r="C831" s="50"/>
      <c r="D831" s="52"/>
    </row>
    <row r="832" spans="2:4">
      <c r="B832" s="43"/>
      <c r="C832" s="50"/>
      <c r="D832" s="52"/>
    </row>
    <row r="833" spans="2:4">
      <c r="B833" s="43"/>
      <c r="C833" s="50"/>
      <c r="D833" s="52"/>
    </row>
    <row r="834" spans="2:4">
      <c r="B834" s="43"/>
      <c r="C834" s="50"/>
      <c r="D834" s="52"/>
    </row>
    <row r="835" spans="2:4">
      <c r="B835" s="43"/>
      <c r="C835" s="50"/>
      <c r="D835" s="52"/>
    </row>
    <row r="836" spans="2:4">
      <c r="B836" s="43"/>
      <c r="C836" s="50"/>
      <c r="D836" s="52"/>
    </row>
    <row r="837" spans="2:4">
      <c r="B837" s="43"/>
      <c r="C837" s="50"/>
      <c r="D837" s="52"/>
    </row>
    <row r="838" spans="2:4">
      <c r="B838" s="43"/>
      <c r="C838" s="50"/>
      <c r="D838" s="52"/>
    </row>
    <row r="839" spans="2:4">
      <c r="B839" s="43"/>
      <c r="C839" s="50"/>
      <c r="D839" s="52"/>
    </row>
    <row r="840" spans="2:4">
      <c r="B840" s="43"/>
      <c r="C840" s="50"/>
      <c r="D840" s="52"/>
    </row>
    <row r="841" spans="2:4">
      <c r="B841" s="43"/>
      <c r="C841" s="50"/>
      <c r="D841" s="52"/>
    </row>
    <row r="842" spans="2:4">
      <c r="B842" s="43"/>
      <c r="C842" s="50"/>
      <c r="D842" s="52"/>
    </row>
    <row r="843" spans="2:4">
      <c r="B843" s="43"/>
      <c r="C843" s="50"/>
      <c r="D843" s="52"/>
    </row>
    <row r="844" spans="2:4">
      <c r="B844" s="43"/>
      <c r="C844" s="50"/>
      <c r="D844" s="52"/>
    </row>
    <row r="845" spans="2:4">
      <c r="B845" s="43"/>
      <c r="C845" s="50"/>
      <c r="D845" s="52"/>
    </row>
    <row r="846" spans="2:4">
      <c r="B846" s="43"/>
      <c r="C846" s="50"/>
      <c r="D846" s="52"/>
    </row>
    <row r="847" spans="2:4">
      <c r="B847" s="43"/>
      <c r="C847" s="50"/>
      <c r="D847" s="52"/>
    </row>
    <row r="848" spans="2:4">
      <c r="B848" s="43"/>
      <c r="C848" s="50"/>
      <c r="D848" s="52"/>
    </row>
    <row r="849" spans="2:4">
      <c r="B849" s="43"/>
      <c r="C849" s="50"/>
      <c r="D849" s="52"/>
    </row>
    <row r="850" spans="2:4">
      <c r="B850" s="43"/>
      <c r="C850" s="50"/>
      <c r="D850" s="52"/>
    </row>
    <row r="851" spans="2:4">
      <c r="B851" s="43"/>
      <c r="C851" s="50"/>
      <c r="D851" s="52"/>
    </row>
    <row r="852" spans="2:4">
      <c r="B852" s="43"/>
      <c r="C852" s="50"/>
      <c r="D852" s="52"/>
    </row>
    <row r="853" spans="2:4">
      <c r="B853" s="43"/>
      <c r="C853" s="50"/>
      <c r="D853" s="52"/>
    </row>
    <row r="854" spans="2:4">
      <c r="B854" s="43"/>
      <c r="C854" s="50"/>
      <c r="D854" s="52"/>
    </row>
    <row r="855" spans="2:4">
      <c r="B855" s="43"/>
      <c r="C855" s="50"/>
      <c r="D855" s="52"/>
    </row>
    <row r="856" spans="2:4">
      <c r="B856" s="43"/>
      <c r="C856" s="50"/>
      <c r="D856" s="52"/>
    </row>
    <row r="857" spans="2:4">
      <c r="B857" s="43"/>
      <c r="C857" s="50"/>
      <c r="D857" s="52"/>
    </row>
    <row r="858" spans="2:4">
      <c r="B858" s="43"/>
      <c r="C858" s="50"/>
      <c r="D858" s="52"/>
    </row>
    <row r="859" spans="2:4">
      <c r="B859" s="43"/>
      <c r="C859" s="50"/>
      <c r="D859" s="52"/>
    </row>
    <row r="860" spans="2:4">
      <c r="B860" s="43"/>
      <c r="C860" s="50"/>
      <c r="D860" s="52"/>
    </row>
    <row r="861" spans="2:4">
      <c r="B861" s="43"/>
      <c r="C861" s="50"/>
      <c r="D861" s="52"/>
    </row>
    <row r="862" spans="2:4">
      <c r="B862" s="43"/>
      <c r="C862" s="50"/>
      <c r="D862" s="52"/>
    </row>
    <row r="863" spans="2:4">
      <c r="B863" s="43"/>
      <c r="C863" s="50"/>
      <c r="D863" s="52"/>
    </row>
    <row r="864" spans="2:4">
      <c r="B864" s="43"/>
      <c r="C864" s="50"/>
      <c r="D864" s="52"/>
    </row>
    <row r="865" spans="2:4">
      <c r="B865" s="43"/>
      <c r="C865" s="50"/>
      <c r="D865" s="52"/>
    </row>
    <row r="866" spans="2:4">
      <c r="B866" s="43"/>
      <c r="C866" s="50"/>
      <c r="D866" s="52"/>
    </row>
    <row r="867" spans="2:4">
      <c r="B867" s="43"/>
      <c r="C867" s="50"/>
      <c r="D867" s="52"/>
    </row>
    <row r="868" spans="2:4">
      <c r="B868" s="43"/>
      <c r="C868" s="50"/>
      <c r="D868" s="52"/>
    </row>
    <row r="869" spans="2:4">
      <c r="B869" s="43"/>
      <c r="C869" s="50"/>
      <c r="D869" s="52"/>
    </row>
    <row r="870" spans="2:4">
      <c r="B870" s="43"/>
      <c r="C870" s="50"/>
      <c r="D870" s="52"/>
    </row>
    <row r="871" spans="2:4">
      <c r="B871" s="43"/>
      <c r="C871" s="50"/>
      <c r="D871" s="52"/>
    </row>
    <row r="872" spans="2:4">
      <c r="B872" s="43"/>
      <c r="C872" s="50"/>
      <c r="D872" s="52"/>
    </row>
    <row r="873" spans="2:4">
      <c r="B873" s="43"/>
      <c r="C873" s="50"/>
      <c r="D873" s="52"/>
    </row>
    <row r="874" spans="2:4">
      <c r="B874" s="43"/>
      <c r="C874" s="50"/>
      <c r="D874" s="52"/>
    </row>
    <row r="875" spans="2:4">
      <c r="B875" s="43"/>
      <c r="C875" s="50"/>
      <c r="D875" s="52"/>
    </row>
    <row r="876" spans="2:4">
      <c r="B876" s="43"/>
      <c r="C876" s="50"/>
      <c r="D876" s="52"/>
    </row>
    <row r="877" spans="2:4">
      <c r="B877" s="43"/>
      <c r="C877" s="50"/>
      <c r="D877" s="52"/>
    </row>
    <row r="878" spans="2:4">
      <c r="B878" s="43"/>
      <c r="C878" s="50"/>
      <c r="D878" s="52"/>
    </row>
    <row r="879" spans="2:4">
      <c r="B879" s="43"/>
      <c r="C879" s="50"/>
      <c r="D879" s="52"/>
    </row>
    <row r="880" spans="2:4">
      <c r="B880" s="43"/>
      <c r="C880" s="50"/>
      <c r="D880" s="52"/>
    </row>
    <row r="881" spans="2:4">
      <c r="B881" s="43"/>
      <c r="C881" s="50"/>
      <c r="D881" s="52"/>
    </row>
    <row r="882" spans="2:4">
      <c r="B882" s="43"/>
      <c r="C882" s="50"/>
      <c r="D882" s="52"/>
    </row>
    <row r="883" spans="2:4">
      <c r="B883" s="43"/>
      <c r="C883" s="50"/>
      <c r="D883" s="52"/>
    </row>
    <row r="884" spans="2:4">
      <c r="B884" s="43"/>
      <c r="C884" s="50"/>
      <c r="D884" s="52"/>
    </row>
    <row r="885" spans="2:4">
      <c r="B885" s="43"/>
      <c r="C885" s="50"/>
      <c r="D885" s="52"/>
    </row>
    <row r="886" spans="2:4">
      <c r="B886" s="43"/>
      <c r="C886" s="50"/>
      <c r="D886" s="52"/>
    </row>
    <row r="887" spans="2:4">
      <c r="B887" s="43"/>
      <c r="C887" s="50"/>
      <c r="D887" s="52"/>
    </row>
    <row r="888" spans="2:4">
      <c r="B888" s="43"/>
      <c r="C888" s="50"/>
      <c r="D888" s="52"/>
    </row>
    <row r="889" spans="2:4">
      <c r="B889" s="43"/>
      <c r="C889" s="50"/>
      <c r="D889" s="52"/>
    </row>
    <row r="890" spans="2:4">
      <c r="B890" s="43"/>
      <c r="C890" s="50"/>
      <c r="D890" s="52"/>
    </row>
    <row r="891" spans="2:4">
      <c r="B891" s="43"/>
      <c r="C891" s="50"/>
      <c r="D891" s="52"/>
    </row>
    <row r="892" spans="2:4">
      <c r="B892" s="43"/>
      <c r="C892" s="50"/>
      <c r="D892" s="52"/>
    </row>
    <row r="893" spans="2:4">
      <c r="B893" s="43"/>
      <c r="C893" s="50"/>
      <c r="D893" s="52"/>
    </row>
    <row r="894" spans="2:4">
      <c r="B894" s="43"/>
      <c r="C894" s="50"/>
      <c r="D894" s="52"/>
    </row>
    <row r="895" spans="2:4">
      <c r="B895" s="43"/>
      <c r="C895" s="50"/>
      <c r="D895" s="52"/>
    </row>
    <row r="896" spans="2:4">
      <c r="B896" s="43"/>
      <c r="C896" s="50"/>
      <c r="D896" s="52"/>
    </row>
    <row r="897" spans="2:4">
      <c r="B897" s="43"/>
      <c r="C897" s="50"/>
      <c r="D897" s="52"/>
    </row>
    <row r="898" spans="2:4">
      <c r="B898" s="43"/>
      <c r="C898" s="50"/>
      <c r="D898" s="52"/>
    </row>
    <row r="899" spans="2:4">
      <c r="B899" s="43"/>
      <c r="C899" s="50"/>
      <c r="D899" s="52"/>
    </row>
    <row r="900" spans="2:4">
      <c r="B900" s="43"/>
      <c r="C900" s="50"/>
      <c r="D900" s="52"/>
    </row>
    <row r="901" spans="2:4">
      <c r="B901" s="43"/>
      <c r="C901" s="50"/>
      <c r="D901" s="52"/>
    </row>
    <row r="902" spans="2:4">
      <c r="B902" s="43"/>
      <c r="C902" s="50"/>
      <c r="D902" s="52"/>
    </row>
    <row r="903" spans="2:4">
      <c r="B903" s="43"/>
      <c r="C903" s="50"/>
      <c r="D903" s="52"/>
    </row>
    <row r="904" spans="2:4">
      <c r="B904" s="43"/>
      <c r="C904" s="50"/>
      <c r="D904" s="52"/>
    </row>
    <row r="905" spans="2:4">
      <c r="B905" s="43"/>
      <c r="C905" s="50"/>
      <c r="D905" s="52"/>
    </row>
    <row r="906" spans="2:4">
      <c r="B906" s="43"/>
      <c r="C906" s="50"/>
      <c r="D906" s="52"/>
    </row>
    <row r="907" spans="2:4">
      <c r="B907" s="43"/>
      <c r="C907" s="50"/>
      <c r="D907" s="52"/>
    </row>
    <row r="908" spans="2:4">
      <c r="B908" s="43"/>
      <c r="C908" s="50"/>
      <c r="D908" s="52"/>
    </row>
    <row r="909" spans="2:4">
      <c r="B909" s="43"/>
      <c r="C909" s="50"/>
      <c r="D909" s="52"/>
    </row>
    <row r="910" spans="2:4">
      <c r="B910" s="43"/>
      <c r="C910" s="50"/>
      <c r="D910" s="52"/>
    </row>
    <row r="911" spans="2:4">
      <c r="B911" s="43"/>
      <c r="C911" s="50"/>
      <c r="D911" s="52"/>
    </row>
    <row r="912" spans="2:4">
      <c r="B912" s="43"/>
      <c r="C912" s="50"/>
      <c r="D912" s="52"/>
    </row>
    <row r="913" spans="2:4">
      <c r="B913" s="43"/>
      <c r="C913" s="50"/>
      <c r="D913" s="52"/>
    </row>
    <row r="914" spans="2:4">
      <c r="B914" s="43"/>
      <c r="C914" s="50"/>
      <c r="D914" s="52"/>
    </row>
    <row r="915" spans="2:4">
      <c r="B915" s="43"/>
      <c r="C915" s="50"/>
      <c r="D915" s="52"/>
    </row>
    <row r="916" spans="2:4">
      <c r="B916" s="43"/>
      <c r="C916" s="50"/>
      <c r="D916" s="52"/>
    </row>
    <row r="917" spans="2:4">
      <c r="B917" s="43"/>
      <c r="C917" s="50"/>
      <c r="D917" s="52"/>
    </row>
    <row r="918" spans="2:4">
      <c r="B918" s="43"/>
      <c r="C918" s="50"/>
      <c r="D918" s="52"/>
    </row>
    <row r="919" spans="2:4">
      <c r="B919" s="43"/>
      <c r="C919" s="50"/>
      <c r="D919" s="52"/>
    </row>
    <row r="920" spans="2:4">
      <c r="B920" s="43"/>
      <c r="C920" s="50"/>
      <c r="D920" s="52"/>
    </row>
    <row r="921" spans="2:4">
      <c r="B921" s="43"/>
      <c r="C921" s="50"/>
      <c r="D921" s="52"/>
    </row>
    <row r="922" spans="2:4">
      <c r="B922" s="43"/>
      <c r="C922" s="50"/>
      <c r="D922" s="52"/>
    </row>
    <row r="923" spans="2:4">
      <c r="B923" s="43"/>
      <c r="C923" s="50"/>
      <c r="D923" s="52"/>
    </row>
    <row r="924" spans="2:4">
      <c r="B924" s="43"/>
      <c r="C924" s="50"/>
      <c r="D924" s="52"/>
    </row>
    <row r="925" spans="2:4">
      <c r="B925" s="43"/>
      <c r="C925" s="50"/>
      <c r="D925" s="52"/>
    </row>
    <row r="926" spans="2:4">
      <c r="B926" s="43"/>
      <c r="C926" s="50"/>
      <c r="D926" s="52"/>
    </row>
    <row r="927" spans="2:4">
      <c r="B927" s="43"/>
      <c r="C927" s="50"/>
      <c r="D927" s="52"/>
    </row>
    <row r="928" spans="2:4">
      <c r="B928" s="43"/>
      <c r="C928" s="50"/>
      <c r="D928" s="52"/>
    </row>
    <row r="929" spans="2:4">
      <c r="B929" s="43"/>
      <c r="C929" s="50"/>
      <c r="D929" s="52"/>
    </row>
    <row r="930" spans="2:4">
      <c r="B930" s="43"/>
      <c r="C930" s="50"/>
      <c r="D930" s="52"/>
    </row>
    <row r="931" spans="2:4">
      <c r="B931" s="43"/>
      <c r="C931" s="50"/>
      <c r="D931" s="52"/>
    </row>
    <row r="932" spans="2:4">
      <c r="B932" s="43"/>
      <c r="C932" s="50"/>
      <c r="D932" s="52"/>
    </row>
    <row r="933" spans="2:4">
      <c r="B933" s="43"/>
      <c r="C933" s="50"/>
      <c r="D933" s="52"/>
    </row>
    <row r="934" spans="2:4">
      <c r="B934" s="43"/>
      <c r="C934" s="50"/>
      <c r="D934" s="52"/>
    </row>
    <row r="935" spans="2:4">
      <c r="B935" s="43"/>
      <c r="C935" s="50"/>
      <c r="D935" s="52"/>
    </row>
    <row r="936" spans="2:4">
      <c r="B936" s="43"/>
      <c r="C936" s="50"/>
      <c r="D936" s="52"/>
    </row>
    <row r="937" spans="2:4">
      <c r="B937" s="43"/>
      <c r="C937" s="50"/>
      <c r="D937" s="52"/>
    </row>
    <row r="938" spans="2:4">
      <c r="B938" s="43"/>
      <c r="C938" s="50"/>
      <c r="D938" s="52"/>
    </row>
    <row r="939" spans="2:4">
      <c r="B939" s="43"/>
      <c r="C939" s="50"/>
      <c r="D939" s="52"/>
    </row>
    <row r="940" spans="2:4">
      <c r="B940" s="43"/>
      <c r="C940" s="50"/>
      <c r="D940" s="52"/>
    </row>
    <row r="941" spans="2:4">
      <c r="B941" s="43"/>
      <c r="C941" s="50"/>
      <c r="D941" s="52"/>
    </row>
    <row r="942" spans="2:4">
      <c r="B942" s="43"/>
      <c r="C942" s="50"/>
      <c r="D942" s="52"/>
    </row>
    <row r="943" spans="2:4">
      <c r="B943" s="43"/>
      <c r="C943" s="50"/>
      <c r="D943" s="52"/>
    </row>
    <row r="944" spans="2:4">
      <c r="B944" s="43"/>
      <c r="C944" s="50"/>
      <c r="D944" s="52"/>
    </row>
    <row r="945" spans="2:4">
      <c r="B945" s="43"/>
      <c r="C945" s="50"/>
      <c r="D945" s="52"/>
    </row>
    <row r="946" spans="2:4">
      <c r="B946" s="43"/>
      <c r="C946" s="50"/>
      <c r="D946" s="52"/>
    </row>
    <row r="947" spans="2:4">
      <c r="B947" s="43"/>
      <c r="C947" s="50"/>
      <c r="D947" s="52"/>
    </row>
    <row r="948" spans="2:4">
      <c r="B948" s="43"/>
      <c r="C948" s="50"/>
      <c r="D948" s="52"/>
    </row>
    <row r="949" spans="2:4">
      <c r="B949" s="43"/>
      <c r="C949" s="50"/>
      <c r="D949" s="52"/>
    </row>
    <row r="950" spans="2:4">
      <c r="B950" s="43"/>
      <c r="C950" s="50"/>
      <c r="D950" s="52"/>
    </row>
    <row r="951" spans="2:4">
      <c r="B951" s="43"/>
      <c r="C951" s="50"/>
      <c r="D951" s="52"/>
    </row>
    <row r="952" spans="2:4">
      <c r="B952" s="43"/>
      <c r="C952" s="50"/>
      <c r="D952" s="52"/>
    </row>
    <row r="953" spans="2:4">
      <c r="B953" s="43"/>
      <c r="C953" s="50"/>
      <c r="D953" s="52"/>
    </row>
    <row r="954" spans="2:4">
      <c r="B954" s="43"/>
      <c r="C954" s="50"/>
      <c r="D954" s="52"/>
    </row>
    <row r="955" spans="2:4">
      <c r="B955" s="43"/>
      <c r="C955" s="50"/>
      <c r="D955" s="52"/>
    </row>
    <row r="956" spans="2:4">
      <c r="B956" s="43"/>
      <c r="C956" s="50"/>
      <c r="D956" s="52"/>
    </row>
    <row r="957" spans="2:4">
      <c r="B957" s="43"/>
      <c r="C957" s="50"/>
      <c r="D957" s="52"/>
    </row>
    <row r="958" spans="2:4">
      <c r="B958" s="43"/>
      <c r="C958" s="50"/>
      <c r="D958" s="52"/>
    </row>
    <row r="959" spans="2:4">
      <c r="B959" s="43"/>
      <c r="C959" s="50"/>
      <c r="D959" s="52"/>
    </row>
    <row r="960" spans="2:4">
      <c r="B960" s="43"/>
      <c r="C960" s="50"/>
      <c r="D960" s="52"/>
    </row>
    <row r="961" spans="2:4">
      <c r="B961" s="43"/>
      <c r="C961" s="50"/>
      <c r="D961" s="52"/>
    </row>
    <row r="962" spans="2:4">
      <c r="B962" s="43"/>
      <c r="C962" s="50"/>
      <c r="D962" s="52"/>
    </row>
    <row r="963" spans="2:4">
      <c r="B963" s="43"/>
      <c r="C963" s="50"/>
      <c r="D963" s="52"/>
    </row>
    <row r="964" spans="2:4">
      <c r="B964" s="43"/>
      <c r="C964" s="50"/>
      <c r="D964" s="52"/>
    </row>
    <row r="965" spans="2:4">
      <c r="B965" s="43"/>
      <c r="C965" s="50"/>
      <c r="D965" s="52"/>
    </row>
    <row r="966" spans="2:4">
      <c r="B966" s="43"/>
      <c r="C966" s="50"/>
      <c r="D966" s="52"/>
    </row>
    <row r="967" spans="2:4">
      <c r="B967" s="43"/>
      <c r="C967" s="50"/>
      <c r="D967" s="52"/>
    </row>
    <row r="968" spans="2:4">
      <c r="B968" s="43"/>
      <c r="C968" s="50"/>
      <c r="D968" s="52"/>
    </row>
    <row r="969" spans="2:4">
      <c r="B969" s="43"/>
      <c r="C969" s="50"/>
      <c r="D969" s="52"/>
    </row>
    <row r="970" spans="2:4">
      <c r="B970" s="43"/>
      <c r="C970" s="50"/>
      <c r="D970" s="52"/>
    </row>
    <row r="971" spans="2:4">
      <c r="B971" s="43"/>
      <c r="C971" s="50"/>
      <c r="D971" s="52"/>
    </row>
    <row r="972" spans="2:4">
      <c r="B972" s="43"/>
      <c r="C972" s="50"/>
      <c r="D972" s="52"/>
    </row>
    <row r="973" spans="2:4">
      <c r="B973" s="43"/>
      <c r="C973" s="50"/>
      <c r="D973" s="52"/>
    </row>
    <row r="974" spans="2:4">
      <c r="B974" s="43"/>
      <c r="C974" s="50"/>
      <c r="D974" s="52"/>
    </row>
    <row r="975" spans="2:4">
      <c r="B975" s="43"/>
      <c r="C975" s="50"/>
      <c r="D975" s="52"/>
    </row>
    <row r="976" spans="2:4">
      <c r="B976" s="43"/>
      <c r="C976" s="50"/>
      <c r="D976" s="52"/>
    </row>
    <row r="977" spans="2:4">
      <c r="B977" s="43"/>
      <c r="C977" s="50"/>
      <c r="D977" s="52"/>
    </row>
    <row r="978" spans="2:4">
      <c r="B978" s="43"/>
      <c r="C978" s="50"/>
      <c r="D978" s="52"/>
    </row>
    <row r="979" spans="2:4">
      <c r="B979" s="43"/>
      <c r="C979" s="50"/>
      <c r="D979" s="52"/>
    </row>
    <row r="980" spans="2:4">
      <c r="B980" s="43"/>
      <c r="C980" s="50"/>
      <c r="D980" s="52"/>
    </row>
    <row r="981" spans="2:4">
      <c r="B981" s="43"/>
      <c r="C981" s="50"/>
      <c r="D981" s="52"/>
    </row>
    <row r="982" spans="2:4">
      <c r="B982" s="43"/>
      <c r="C982" s="50"/>
      <c r="D982" s="52"/>
    </row>
    <row r="983" spans="2:4">
      <c r="B983" s="43"/>
      <c r="C983" s="50"/>
      <c r="D983" s="52"/>
    </row>
    <row r="984" spans="2:4">
      <c r="B984" s="43"/>
      <c r="C984" s="50"/>
      <c r="D984" s="52"/>
    </row>
    <row r="985" spans="2:4">
      <c r="B985" s="43"/>
      <c r="C985" s="50"/>
      <c r="D985" s="52"/>
    </row>
    <row r="986" spans="2:4">
      <c r="B986" s="43"/>
      <c r="C986" s="50"/>
      <c r="D986" s="52"/>
    </row>
    <row r="987" spans="2:4">
      <c r="B987" s="43"/>
      <c r="C987" s="50"/>
      <c r="D987" s="52"/>
    </row>
    <row r="988" spans="2:4">
      <c r="B988" s="43"/>
      <c r="C988" s="50"/>
      <c r="D988" s="52"/>
    </row>
    <row r="989" spans="2:4">
      <c r="B989" s="43"/>
      <c r="C989" s="50"/>
      <c r="D989" s="52"/>
    </row>
    <row r="990" spans="2:4">
      <c r="B990" s="43"/>
      <c r="C990" s="50"/>
      <c r="D990" s="52"/>
    </row>
    <row r="991" spans="2:4">
      <c r="B991" s="43"/>
      <c r="C991" s="50"/>
      <c r="D991" s="52"/>
    </row>
    <row r="992" spans="2:4">
      <c r="B992" s="43"/>
      <c r="C992" s="50"/>
      <c r="D992" s="52"/>
    </row>
    <row r="993" spans="2:4">
      <c r="B993" s="43"/>
      <c r="C993" s="50"/>
      <c r="D993" s="52"/>
    </row>
    <row r="994" spans="2:4">
      <c r="B994" s="43"/>
      <c r="C994" s="50"/>
      <c r="D994" s="52"/>
    </row>
    <row r="995" spans="2:4">
      <c r="B995" s="43"/>
      <c r="C995" s="50"/>
      <c r="D995" s="52"/>
    </row>
    <row r="996" spans="2:4">
      <c r="B996" s="43"/>
      <c r="C996" s="50"/>
      <c r="D996" s="52"/>
    </row>
    <row r="997" spans="2:4">
      <c r="B997" s="43"/>
      <c r="C997" s="50"/>
      <c r="D997" s="52"/>
    </row>
    <row r="998" spans="2:4">
      <c r="B998" s="43"/>
      <c r="C998" s="50"/>
      <c r="D998" s="52"/>
    </row>
    <row r="999" spans="2:4">
      <c r="B999" s="43"/>
      <c r="C999" s="50"/>
      <c r="D999" s="52"/>
    </row>
    <row r="1000" spans="2:4">
      <c r="B1000" s="43"/>
      <c r="C1000" s="52"/>
      <c r="D1000" s="52"/>
    </row>
  </sheetData>
  <mergeCells count="2">
    <mergeCell ref="R17:S17"/>
    <mergeCell ref="U17:V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co1</vt:lpstr>
      <vt:lpstr>co2</vt:lpstr>
      <vt:lpstr>co3</vt:lpstr>
      <vt:lpstr>co1x2x3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Азат Жазит</dc:creator>
  <cp:lastModifiedBy>Азат Жазит</cp:lastModifiedBy>
  <dcterms:created xsi:type="dcterms:W3CDTF">2026-03-11T09:39:53Z</dcterms:created>
  <dcterms:modified xsi:type="dcterms:W3CDTF">2026-03-11T09:39:53Z</dcterms:modified>
</cp:coreProperties>
</file>